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8_{F88C7670-9DD2-4FC6-80E4-121367836FA4}" xr6:coauthVersionLast="47" xr6:coauthVersionMax="47" xr10:uidLastSave="{00000000-0000-0000-0000-000000000000}"/>
  <bookViews>
    <workbookView xWindow="768" yWindow="768" windowWidth="16116" windowHeight="11460" firstSheet="1" activeTab="2" xr2:uid="{00000000-000D-0000-FFFF-FFFF00000000}"/>
  </bookViews>
  <sheets>
    <sheet name="Bank_Deposits" sheetId="1" r:id="rId1"/>
    <sheet name="Direct_Deposits" sheetId="2" r:id="rId2"/>
    <sheet name="CreditCard_Payments" sheetId="3" r:id="rId3"/>
    <sheet name="Vendor_Maintenance" sheetId="4" r:id="rId4"/>
    <sheet name="Collections" sheetId="5" r:id="rId5"/>
    <sheet name="Dashboard" sheetId="6" r:id="rId6"/>
  </sheets>
  <definedNames>
    <definedName name="_xlnm._FilterDatabase" localSheetId="0" hidden="1">Bank_Deposits!$A$1:$J$1</definedName>
    <definedName name="_xlnm._FilterDatabase" localSheetId="4" hidden="1">Collections!$A$1:$I$1</definedName>
    <definedName name="_xlnm._FilterDatabase" localSheetId="2" hidden="1">CreditCard_Payments!$A$1:$I$1</definedName>
    <definedName name="_xlnm._FilterDatabase" localSheetId="1" hidden="1">Direct_Deposits!$A$1:$H$1</definedName>
    <definedName name="_xlnm._FilterDatabase" localSheetId="3" hidden="1">Vendor_Maintenance!$A$1:$H$1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F3" i="1"/>
  <c r="B10" i="6"/>
  <c r="B9" i="6"/>
  <c r="B7" i="6"/>
  <c r="B6" i="6"/>
  <c r="B5" i="6"/>
  <c r="B3" i="6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  <c r="E2" i="5"/>
  <c r="F2" i="5" s="1"/>
  <c r="I13" i="3"/>
  <c r="H13" i="3"/>
  <c r="I12" i="3"/>
  <c r="H12" i="3" s="1"/>
  <c r="I11" i="3"/>
  <c r="H11" i="3" s="1"/>
  <c r="I10" i="3"/>
  <c r="H10" i="3" s="1"/>
  <c r="I9" i="3"/>
  <c r="H9" i="3"/>
  <c r="I8" i="3"/>
  <c r="H8" i="3"/>
  <c r="I7" i="3"/>
  <c r="H7" i="3"/>
  <c r="I6" i="3"/>
  <c r="H6" i="3" s="1"/>
  <c r="I5" i="3"/>
  <c r="H5" i="3" s="1"/>
  <c r="I4" i="3"/>
  <c r="H4" i="3" s="1"/>
  <c r="B8" i="6" s="1"/>
  <c r="I3" i="3"/>
  <c r="H3" i="3"/>
  <c r="I2" i="3"/>
  <c r="H2" i="3"/>
  <c r="H11" i="2"/>
  <c r="H10" i="2"/>
  <c r="H9" i="2"/>
  <c r="H8" i="2"/>
  <c r="H7" i="2"/>
  <c r="H6" i="2"/>
  <c r="H5" i="2"/>
  <c r="H4" i="2"/>
  <c r="H3" i="2"/>
  <c r="H2" i="2"/>
  <c r="G11" i="1"/>
  <c r="F11" i="1"/>
  <c r="G10" i="1"/>
  <c r="F10" i="1"/>
  <c r="G9" i="1"/>
  <c r="F9" i="1"/>
  <c r="G8" i="1"/>
  <c r="F8" i="1" s="1"/>
  <c r="G7" i="1"/>
  <c r="F7" i="1"/>
  <c r="G6" i="1"/>
  <c r="F6" i="1" s="1"/>
  <c r="G5" i="1"/>
  <c r="F5" i="1"/>
  <c r="G4" i="1"/>
  <c r="F4" i="1"/>
  <c r="G3" i="1"/>
  <c r="G2" i="1"/>
  <c r="F2" i="1"/>
  <c r="J3" i="1" l="1"/>
  <c r="B4" i="6" s="1"/>
</calcChain>
</file>

<file path=xl/sharedStrings.xml><?xml version="1.0" encoding="utf-8"?>
<sst xmlns="http://schemas.openxmlformats.org/spreadsheetml/2006/main" count="320" uniqueCount="216">
  <si>
    <t>Date</t>
  </si>
  <si>
    <t>Deposit ID</t>
  </si>
  <si>
    <t>Amount</t>
  </si>
  <si>
    <t>Source</t>
  </si>
  <si>
    <t>Bank Statement Amount</t>
  </si>
  <si>
    <t>Reconciled?</t>
  </si>
  <si>
    <t>Variance</t>
  </si>
  <si>
    <t>KPIs</t>
  </si>
  <si>
    <t>BD-20260204-01</t>
  </si>
  <si>
    <t>Other Receipts</t>
  </si>
  <si>
    <t>Total Deposits</t>
  </si>
  <si>
    <t>BD-20260205-02</t>
  </si>
  <si>
    <t>Employer Premiums</t>
  </si>
  <si>
    <t>Reconciled %</t>
  </si>
  <si>
    <t>BD-20260206-03</t>
  </si>
  <si>
    <t>BD-20260207-04</t>
  </si>
  <si>
    <t>Investment Income</t>
  </si>
  <si>
    <t>BD-20260208-05</t>
  </si>
  <si>
    <t>BD-20260209-06</t>
  </si>
  <si>
    <t>BD-20260210-07</t>
  </si>
  <si>
    <t>BD-20260211-08</t>
  </si>
  <si>
    <t>BD-20260212-09</t>
  </si>
  <si>
    <t>BD-20260213-10</t>
  </si>
  <si>
    <t>Payee</t>
  </si>
  <si>
    <t>Payment Date</t>
  </si>
  <si>
    <t>Method</t>
  </si>
  <si>
    <t>Reference</t>
  </si>
  <si>
    <t>Status</t>
  </si>
  <si>
    <t>Cleared Date</t>
  </si>
  <si>
    <t>Days to Clear</t>
  </si>
  <si>
    <t>Vendor/Employee 1</t>
  </si>
  <si>
    <t>EFT</t>
  </si>
  <si>
    <t>DD-0001</t>
  </si>
  <si>
    <t>Cleared</t>
  </si>
  <si>
    <t>Vendor/Employee 2</t>
  </si>
  <si>
    <t>DD-0002</t>
  </si>
  <si>
    <t>Vendor/Employee 3</t>
  </si>
  <si>
    <t>Direct Deposit</t>
  </si>
  <si>
    <t>DD-0003</t>
  </si>
  <si>
    <t>Vendor/Employee 4</t>
  </si>
  <si>
    <t>DD-0004</t>
  </si>
  <si>
    <t>Vendor/Employee 5</t>
  </si>
  <si>
    <t>DD-0005</t>
  </si>
  <si>
    <t>Scheduled</t>
  </si>
  <si>
    <t>Vendor/Employee 6</t>
  </si>
  <si>
    <t>DD-0006</t>
  </si>
  <si>
    <t>Returned</t>
  </si>
  <si>
    <t>Vendor/Employee 7</t>
  </si>
  <si>
    <t>DD-0007</t>
  </si>
  <si>
    <t>Vendor/Employee 8</t>
  </si>
  <si>
    <t>DD-0008</t>
  </si>
  <si>
    <t>Vendor/Employee 9</t>
  </si>
  <si>
    <t>DD-0009</t>
  </si>
  <si>
    <t>Vendor/Employee 10</t>
  </si>
  <si>
    <t>DD-0010</t>
  </si>
  <si>
    <t>Transaction ID</t>
  </si>
  <si>
    <t>Payer</t>
  </si>
  <si>
    <t>Card Type</t>
  </si>
  <si>
    <t>Auth Code</t>
  </si>
  <si>
    <t>Processor Amount</t>
  </si>
  <si>
    <t>CC-20260212-001</t>
  </si>
  <si>
    <t>Client 34</t>
  </si>
  <si>
    <t>Mastercard</t>
  </si>
  <si>
    <t>854604</t>
  </si>
  <si>
    <t>CC-20260209-002</t>
  </si>
  <si>
    <t>Client 12</t>
  </si>
  <si>
    <t>722365</t>
  </si>
  <si>
    <t>CC-20260206-003</t>
  </si>
  <si>
    <t>Client 19</t>
  </si>
  <si>
    <t>Amex</t>
  </si>
  <si>
    <t>423777</t>
  </si>
  <si>
    <t>CC-20260120-004</t>
  </si>
  <si>
    <t>Client 20</t>
  </si>
  <si>
    <t>130957</t>
  </si>
  <si>
    <t>CC-20260214-005</t>
  </si>
  <si>
    <t>Client 30</t>
  </si>
  <si>
    <t>469713</t>
  </si>
  <si>
    <t>CC-20260212-006</t>
  </si>
  <si>
    <t>Client 3</t>
  </si>
  <si>
    <t>Visa</t>
  </si>
  <si>
    <t>363639</t>
  </si>
  <si>
    <t>CC-20260129-007</t>
  </si>
  <si>
    <t>Client 35</t>
  </si>
  <si>
    <t>CC-20260126-008</t>
  </si>
  <si>
    <t>Client 7</t>
  </si>
  <si>
    <t>596689</t>
  </si>
  <si>
    <t>CC-20260214-009</t>
  </si>
  <si>
    <t>Client 2</t>
  </si>
  <si>
    <t>CC-20260202-010</t>
  </si>
  <si>
    <t>Client 8</t>
  </si>
  <si>
    <t>223387</t>
  </si>
  <si>
    <t>CC-20260202-011</t>
  </si>
  <si>
    <t>Client 36</t>
  </si>
  <si>
    <t>660163</t>
  </si>
  <si>
    <t>CC-20260213-012</t>
  </si>
  <si>
    <t>712098</t>
  </si>
  <si>
    <t>Vendor ID</t>
  </si>
  <si>
    <t>Vendor Name</t>
  </si>
  <si>
    <t>Email</t>
  </si>
  <si>
    <t>Phone</t>
  </si>
  <si>
    <t>Payment Method</t>
  </si>
  <si>
    <t>Banking on File?</t>
  </si>
  <si>
    <t>Last Verified</t>
  </si>
  <si>
    <t>Notes</t>
  </si>
  <si>
    <t>V-0001</t>
  </si>
  <si>
    <t>Vendor 1 Ltd.</t>
  </si>
  <si>
    <t>vendor1@example.com</t>
  </si>
  <si>
    <t>(902) 555-1001</t>
  </si>
  <si>
    <t>Yes</t>
  </si>
  <si>
    <t/>
  </si>
  <si>
    <t>V-0002</t>
  </si>
  <si>
    <t>Vendor 2 Ltd.</t>
  </si>
  <si>
    <t>vendor2@example.com</t>
  </si>
  <si>
    <t>(902) 555-1002</t>
  </si>
  <si>
    <t>V-0003</t>
  </si>
  <si>
    <t>Vendor 3 Ltd.</t>
  </si>
  <si>
    <t>vendor3@example.com</t>
  </si>
  <si>
    <t>(902) 555-1003</t>
  </si>
  <si>
    <t>Wire</t>
  </si>
  <si>
    <t>No</t>
  </si>
  <si>
    <t>V-0004</t>
  </si>
  <si>
    <t>Vendor 4 Ltd.</t>
  </si>
  <si>
    <t>vendor4@example.com</t>
  </si>
  <si>
    <t>(902) 555-1004</t>
  </si>
  <si>
    <t>V-0005</t>
  </si>
  <si>
    <t>Vendor 5 Ltd.</t>
  </si>
  <si>
    <t>vendor5@example.com</t>
  </si>
  <si>
    <t>(902) 555-1005</t>
  </si>
  <si>
    <t>V-0006</t>
  </si>
  <si>
    <t>Vendor 6 Ltd.</t>
  </si>
  <si>
    <t>vendor6@example.com</t>
  </si>
  <si>
    <t>(902) 555-1006</t>
  </si>
  <si>
    <t>V-0007</t>
  </si>
  <si>
    <t>Vendor 7 Ltd.</t>
  </si>
  <si>
    <t>vendor7@example.com</t>
  </si>
  <si>
    <t>(902) 555-1007</t>
  </si>
  <si>
    <t>V-0008</t>
  </si>
  <si>
    <t>Vendor 8 Ltd.</t>
  </si>
  <si>
    <t>vendor8@example.com</t>
  </si>
  <si>
    <t>(902) 555-1008</t>
  </si>
  <si>
    <t>V-0009</t>
  </si>
  <si>
    <t>Vendor 9 Ltd.</t>
  </si>
  <si>
    <t>vendor9@example.com</t>
  </si>
  <si>
    <t>(902) 555-1009</t>
  </si>
  <si>
    <t>V-0010</t>
  </si>
  <si>
    <t>Vendor 10 Ltd.</t>
  </si>
  <si>
    <t>vendor10@example.com</t>
  </si>
  <si>
    <t>(902) 555-1010</t>
  </si>
  <si>
    <t>V-0011</t>
  </si>
  <si>
    <t>Vendor 11 Ltd.</t>
  </si>
  <si>
    <t>vendor11@example.com</t>
  </si>
  <si>
    <t>(902) 555-1011</t>
  </si>
  <si>
    <t>V-0012</t>
  </si>
  <si>
    <t>Vendor 12 Ltd.</t>
  </si>
  <si>
    <t>vendor12@example.com</t>
  </si>
  <si>
    <t>(902) 555-1012</t>
  </si>
  <si>
    <t>Cheque</t>
  </si>
  <si>
    <t>V-0013</t>
  </si>
  <si>
    <t>Vendor 13 Ltd.</t>
  </si>
  <si>
    <t>vendor13@example.com</t>
  </si>
  <si>
    <t>(902) 555-1013</t>
  </si>
  <si>
    <t>V-0014</t>
  </si>
  <si>
    <t>Vendor 14 Ltd.</t>
  </si>
  <si>
    <t>vendor14@example.com</t>
  </si>
  <si>
    <t>(902) 555-1014</t>
  </si>
  <si>
    <t>V-0015</t>
  </si>
  <si>
    <t>Vendor 15 Ltd.</t>
  </si>
  <si>
    <t>vendor15@example.com</t>
  </si>
  <si>
    <t>(902) 555-1015</t>
  </si>
  <si>
    <t>Account/Claim</t>
  </si>
  <si>
    <t>Invoice #</t>
  </si>
  <si>
    <t>Due Date</t>
  </si>
  <si>
    <t>Amount Owing</t>
  </si>
  <si>
    <t>Days Outstanding</t>
  </si>
  <si>
    <t>Aging Bucket</t>
  </si>
  <si>
    <t>Letter Sent?</t>
  </si>
  <si>
    <t>Last Contact Date</t>
  </si>
  <si>
    <t>Account 001</t>
  </si>
  <si>
    <t>INV-2026001</t>
  </si>
  <si>
    <t>Account 002</t>
  </si>
  <si>
    <t>INV-2026002</t>
  </si>
  <si>
    <t>Account 003</t>
  </si>
  <si>
    <t>INV-2026003</t>
  </si>
  <si>
    <t>Account 004</t>
  </si>
  <si>
    <t>INV-2026004</t>
  </si>
  <si>
    <t>Account 005</t>
  </si>
  <si>
    <t>INV-2026005</t>
  </si>
  <si>
    <t>Account 006</t>
  </si>
  <si>
    <t>INV-2026006</t>
  </si>
  <si>
    <t>Account 007</t>
  </si>
  <si>
    <t>INV-2026007</t>
  </si>
  <si>
    <t>Account 008</t>
  </si>
  <si>
    <t>INV-2026008</t>
  </si>
  <si>
    <t>Account 009</t>
  </si>
  <si>
    <t>INV-2026009</t>
  </si>
  <si>
    <t>Account 010</t>
  </si>
  <si>
    <t>INV-2026010</t>
  </si>
  <si>
    <t>Account 011</t>
  </si>
  <si>
    <t>INV-2026011</t>
  </si>
  <si>
    <t>Account 012</t>
  </si>
  <si>
    <t>INV-2026012</t>
  </si>
  <si>
    <t>Account 013</t>
  </si>
  <si>
    <t>INV-2026013</t>
  </si>
  <si>
    <t>Financial Transaction Reconciliation &amp; Deposit Tracking System</t>
  </si>
  <si>
    <t>KPI</t>
  </si>
  <si>
    <t>Value</t>
  </si>
  <si>
    <t>How to use</t>
  </si>
  <si>
    <t>Total Bank Deposits</t>
  </si>
  <si>
    <t>1) Enter new transactions in each sheet.
2) Reconciled? auto-calculates from variance.
3) Yellow = needs review; Red = high risk/overdue.
4) Dashboard updates KPIs automatically.</t>
  </si>
  <si>
    <t>Bank Deposits Reconciled %</t>
  </si>
  <si>
    <t>Total Direct Deposits</t>
  </si>
  <si>
    <t>Direct Deposits Cleared %</t>
  </si>
  <si>
    <t>Total Credit Card Payments</t>
  </si>
  <si>
    <t>Credit Card Reconciled %</t>
  </si>
  <si>
    <t>Open Collections Balance</t>
  </si>
  <si>
    <t>Vendors Needing Review (&gt;90d)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</si>
</sst>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yyyy\-mm\-dd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5"/>
      <color rgb="FFFFFFFF"/>
      <name val="Calibri"/>
    </font>
    <font>
      <sz val="11"/>
      <color rgb="FF40404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8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8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5" fontId="0" fillId="0" borderId="1" xfId="0" applyNumberForma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8"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G5" sqref="G5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4" max="4" width="18" customWidth="1"/>
    <col min="5" max="5" width="20" customWidth="1"/>
    <col min="6" max="7" width="12" customWidth="1"/>
    <col min="10" max="10" width="10" bestFit="1" customWidth="1"/>
  </cols>
  <sheetData>
    <row r="1" spans="1:10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spans="1:10" ht="28.8" x14ac:dyDescent="0.3">
      <c r="A2" s="3">
        <v>46057</v>
      </c>
      <c r="B2" s="4" t="s">
        <v>8</v>
      </c>
      <c r="C2" s="5">
        <v>4211.16</v>
      </c>
      <c r="D2" s="6" t="s">
        <v>9</v>
      </c>
      <c r="E2" s="5">
        <v>4211.16</v>
      </c>
      <c r="F2" s="4" t="str">
        <f t="shared" ref="F2:F11" si="0">IF(ROUND(G2,2)=0,"Y","N")</f>
        <v>Y</v>
      </c>
      <c r="G2" s="5">
        <f t="shared" ref="G2:G11" si="1">E2-C2</f>
        <v>0</v>
      </c>
      <c r="I2" s="7" t="s">
        <v>10</v>
      </c>
      <c r="J2" s="8">
        <f>SUM(C2:C11)</f>
        <v>28130.449999999997</v>
      </c>
    </row>
    <row r="3" spans="1:10" ht="28.8" x14ac:dyDescent="0.3">
      <c r="A3" s="3">
        <v>46058</v>
      </c>
      <c r="B3" s="4" t="s">
        <v>11</v>
      </c>
      <c r="C3" s="5">
        <v>3987.3</v>
      </c>
      <c r="D3" s="6" t="s">
        <v>12</v>
      </c>
      <c r="E3" s="5">
        <v>3987.3</v>
      </c>
      <c r="F3" s="4" t="str">
        <f>IF(ROUND(G3,2)=0,"Y","N")</f>
        <v>Y</v>
      </c>
      <c r="G3" s="5">
        <f t="shared" si="1"/>
        <v>0</v>
      </c>
      <c r="I3" s="7" t="s">
        <v>13</v>
      </c>
      <c r="J3" s="9">
        <f>IF(COUNTIF(F2:F1000,"Y")+COUNTIF(F2:F1000,"N")=0,0,COUNTIF(F2:F1000,"Y")/(COUNTIF(F2:F1000,"Y")+COUNTIF(F2:F1000,"N")))</f>
        <v>0.8</v>
      </c>
    </row>
    <row r="4" spans="1:10" ht="28.8" x14ac:dyDescent="0.3">
      <c r="A4" s="3">
        <v>46059</v>
      </c>
      <c r="B4" s="4" t="s">
        <v>14</v>
      </c>
      <c r="C4" s="5">
        <v>849.17</v>
      </c>
      <c r="D4" s="6" t="s">
        <v>9</v>
      </c>
      <c r="E4" s="5">
        <v>849.17</v>
      </c>
      <c r="F4" s="4" t="str">
        <f t="shared" si="0"/>
        <v>Y</v>
      </c>
      <c r="G4" s="5">
        <f t="shared" si="1"/>
        <v>0</v>
      </c>
    </row>
    <row r="5" spans="1:10" ht="28.8" x14ac:dyDescent="0.3">
      <c r="A5" s="3">
        <v>46060</v>
      </c>
      <c r="B5" s="4" t="s">
        <v>15</v>
      </c>
      <c r="C5" s="5">
        <v>3473.31</v>
      </c>
      <c r="D5" s="6" t="s">
        <v>16</v>
      </c>
      <c r="E5" s="5">
        <v>3473.31</v>
      </c>
      <c r="F5" s="4" t="str">
        <f t="shared" si="0"/>
        <v>Y</v>
      </c>
      <c r="G5" s="5">
        <f t="shared" si="1"/>
        <v>0</v>
      </c>
    </row>
    <row r="6" spans="1:10" ht="28.8" x14ac:dyDescent="0.3">
      <c r="A6" s="3">
        <v>46061</v>
      </c>
      <c r="B6" s="4" t="s">
        <v>17</v>
      </c>
      <c r="C6" s="5">
        <v>3746.91</v>
      </c>
      <c r="D6" s="6" t="s">
        <v>9</v>
      </c>
      <c r="E6" s="5">
        <v>3758.14</v>
      </c>
      <c r="F6" s="4" t="str">
        <f t="shared" si="0"/>
        <v>N</v>
      </c>
      <c r="G6" s="5">
        <f t="shared" si="1"/>
        <v>11.230000000000018</v>
      </c>
    </row>
    <row r="7" spans="1:10" ht="28.8" x14ac:dyDescent="0.3">
      <c r="A7" s="3">
        <v>46062</v>
      </c>
      <c r="B7" s="4" t="s">
        <v>18</v>
      </c>
      <c r="C7" s="5">
        <v>1171.2</v>
      </c>
      <c r="D7" s="6" t="s">
        <v>9</v>
      </c>
      <c r="E7" s="5">
        <v>1171.2</v>
      </c>
      <c r="F7" s="4" t="str">
        <f t="shared" si="0"/>
        <v>Y</v>
      </c>
      <c r="G7" s="5">
        <f t="shared" si="1"/>
        <v>0</v>
      </c>
    </row>
    <row r="8" spans="1:10" ht="28.8" x14ac:dyDescent="0.3">
      <c r="A8" s="3">
        <v>46063</v>
      </c>
      <c r="B8" s="4" t="s">
        <v>19</v>
      </c>
      <c r="C8" s="5">
        <v>1156.25</v>
      </c>
      <c r="D8" s="6" t="s">
        <v>9</v>
      </c>
      <c r="E8" s="5">
        <v>1156.25</v>
      </c>
      <c r="F8" s="4" t="str">
        <f t="shared" si="0"/>
        <v>Y</v>
      </c>
      <c r="G8" s="5">
        <f t="shared" si="1"/>
        <v>0</v>
      </c>
    </row>
    <row r="9" spans="1:10" ht="28.8" x14ac:dyDescent="0.3">
      <c r="A9" s="3">
        <v>46064</v>
      </c>
      <c r="B9" s="4" t="s">
        <v>20</v>
      </c>
      <c r="C9" s="5">
        <v>3148.1</v>
      </c>
      <c r="D9" s="6" t="s">
        <v>16</v>
      </c>
      <c r="E9" s="5">
        <v>3148.1</v>
      </c>
      <c r="F9" s="4" t="str">
        <f t="shared" si="0"/>
        <v>Y</v>
      </c>
      <c r="G9" s="5">
        <f t="shared" si="1"/>
        <v>0</v>
      </c>
    </row>
    <row r="10" spans="1:10" ht="28.8" x14ac:dyDescent="0.3">
      <c r="A10" s="3">
        <v>46065</v>
      </c>
      <c r="B10" s="4" t="s">
        <v>21</v>
      </c>
      <c r="C10" s="5">
        <v>3722.86</v>
      </c>
      <c r="D10" s="6" t="s">
        <v>12</v>
      </c>
      <c r="E10" s="5">
        <v>3722.86</v>
      </c>
      <c r="F10" s="4" t="str">
        <f t="shared" si="0"/>
        <v>Y</v>
      </c>
      <c r="G10" s="5">
        <f t="shared" si="1"/>
        <v>0</v>
      </c>
    </row>
    <row r="11" spans="1:10" ht="28.8" x14ac:dyDescent="0.3">
      <c r="A11" s="3">
        <v>46066</v>
      </c>
      <c r="B11" s="4" t="s">
        <v>22</v>
      </c>
      <c r="C11" s="5">
        <v>2664.19</v>
      </c>
      <c r="D11" s="6" t="s">
        <v>9</v>
      </c>
      <c r="E11" s="5">
        <v>2623.7</v>
      </c>
      <c r="F11" s="4" t="str">
        <f t="shared" si="0"/>
        <v>N</v>
      </c>
      <c r="G11" s="5">
        <f t="shared" si="1"/>
        <v>-40.490000000000236</v>
      </c>
    </row>
  </sheetData>
  <conditionalFormatting sqref="F2:F200">
    <cfRule type="cellIs" dxfId="7" priority="2" operator="equal">
      <formula>"N"</formula>
    </cfRule>
  </conditionalFormatting>
  <conditionalFormatting sqref="G2:G200">
    <cfRule type="cellIs" dxfId="6" priority="1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4" x14ac:dyDescent="0.3"/>
  <cols>
    <col min="1" max="1" width="22" customWidth="1"/>
    <col min="2" max="2" width="14" customWidth="1"/>
    <col min="3" max="3" width="12" customWidth="1"/>
    <col min="4" max="4" width="14" customWidth="1"/>
    <col min="5" max="5" width="16" customWidth="1"/>
    <col min="6" max="6" width="12" customWidth="1"/>
    <col min="7" max="8" width="14" customWidth="1"/>
  </cols>
  <sheetData>
    <row r="1" spans="1:8" ht="17.55" customHeight="1" x14ac:dyDescent="0.3">
      <c r="A1" s="1" t="s">
        <v>23</v>
      </c>
      <c r="B1" s="1" t="s">
        <v>24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3">
      <c r="A2" s="4" t="s">
        <v>30</v>
      </c>
      <c r="B2" s="3">
        <v>46058</v>
      </c>
      <c r="C2" s="5">
        <v>1397.13</v>
      </c>
      <c r="D2" s="6" t="s">
        <v>31</v>
      </c>
      <c r="E2" s="6" t="s">
        <v>32</v>
      </c>
      <c r="F2" s="4" t="s">
        <v>33</v>
      </c>
      <c r="G2" s="10">
        <v>46061</v>
      </c>
      <c r="H2" s="6">
        <f t="shared" ref="H2:H11" si="0">IF(G2="","",G2-B2)</f>
        <v>3</v>
      </c>
    </row>
    <row r="3" spans="1:8" x14ac:dyDescent="0.3">
      <c r="A3" s="4" t="s">
        <v>34</v>
      </c>
      <c r="B3" s="3">
        <v>46052</v>
      </c>
      <c r="C3" s="5">
        <v>218.22</v>
      </c>
      <c r="D3" s="6" t="s">
        <v>31</v>
      </c>
      <c r="E3" s="6" t="s">
        <v>35</v>
      </c>
      <c r="F3" s="4" t="s">
        <v>33</v>
      </c>
      <c r="G3" s="10">
        <v>46054</v>
      </c>
      <c r="H3" s="6">
        <f t="shared" si="0"/>
        <v>2</v>
      </c>
    </row>
    <row r="4" spans="1:8" x14ac:dyDescent="0.3">
      <c r="A4" s="4" t="s">
        <v>36</v>
      </c>
      <c r="B4" s="3">
        <v>46062</v>
      </c>
      <c r="C4" s="5">
        <v>390.35</v>
      </c>
      <c r="D4" s="6" t="s">
        <v>37</v>
      </c>
      <c r="E4" s="6" t="s">
        <v>38</v>
      </c>
      <c r="F4" s="4" t="s">
        <v>33</v>
      </c>
      <c r="G4" s="10">
        <v>46066</v>
      </c>
      <c r="H4" s="6">
        <f t="shared" si="0"/>
        <v>4</v>
      </c>
    </row>
    <row r="5" spans="1:8" x14ac:dyDescent="0.3">
      <c r="A5" s="4" t="s">
        <v>39</v>
      </c>
      <c r="B5" s="3">
        <v>46064</v>
      </c>
      <c r="C5" s="5">
        <v>155.19</v>
      </c>
      <c r="D5" s="6" t="s">
        <v>37</v>
      </c>
      <c r="E5" s="6" t="s">
        <v>40</v>
      </c>
      <c r="F5" s="4" t="s">
        <v>33</v>
      </c>
      <c r="G5" s="10">
        <v>46068</v>
      </c>
      <c r="H5" s="6">
        <f t="shared" si="0"/>
        <v>4</v>
      </c>
    </row>
    <row r="6" spans="1:8" x14ac:dyDescent="0.3">
      <c r="A6" s="4" t="s">
        <v>41</v>
      </c>
      <c r="B6" s="3">
        <v>46058</v>
      </c>
      <c r="C6" s="5">
        <v>786.67</v>
      </c>
      <c r="D6" s="6" t="s">
        <v>31</v>
      </c>
      <c r="E6" s="6" t="s">
        <v>42</v>
      </c>
      <c r="F6" s="4" t="s">
        <v>43</v>
      </c>
      <c r="G6" s="10"/>
      <c r="H6" s="6" t="str">
        <f t="shared" si="0"/>
        <v/>
      </c>
    </row>
    <row r="7" spans="1:8" x14ac:dyDescent="0.3">
      <c r="A7" s="4" t="s">
        <v>44</v>
      </c>
      <c r="B7" s="3">
        <v>46051</v>
      </c>
      <c r="C7" s="5">
        <v>1034.5899999999999</v>
      </c>
      <c r="D7" s="6" t="s">
        <v>31</v>
      </c>
      <c r="E7" s="6" t="s">
        <v>45</v>
      </c>
      <c r="F7" s="4" t="s">
        <v>46</v>
      </c>
      <c r="G7" s="10"/>
      <c r="H7" s="6" t="str">
        <f t="shared" si="0"/>
        <v/>
      </c>
    </row>
    <row r="8" spans="1:8" x14ac:dyDescent="0.3">
      <c r="A8" s="4" t="s">
        <v>47</v>
      </c>
      <c r="B8" s="3">
        <v>46063</v>
      </c>
      <c r="C8" s="5">
        <v>1372.91</v>
      </c>
      <c r="D8" s="6" t="s">
        <v>31</v>
      </c>
      <c r="E8" s="6" t="s">
        <v>48</v>
      </c>
      <c r="F8" s="4" t="s">
        <v>33</v>
      </c>
      <c r="G8" s="10">
        <v>46063</v>
      </c>
      <c r="H8" s="6">
        <f t="shared" si="0"/>
        <v>0</v>
      </c>
    </row>
    <row r="9" spans="1:8" x14ac:dyDescent="0.3">
      <c r="A9" s="4" t="s">
        <v>49</v>
      </c>
      <c r="B9" s="3">
        <v>46065</v>
      </c>
      <c r="C9" s="5">
        <v>2426.6999999999998</v>
      </c>
      <c r="D9" s="6" t="s">
        <v>31</v>
      </c>
      <c r="E9" s="6" t="s">
        <v>50</v>
      </c>
      <c r="F9" s="4" t="s">
        <v>46</v>
      </c>
      <c r="G9" s="10"/>
      <c r="H9" s="6" t="str">
        <f t="shared" si="0"/>
        <v/>
      </c>
    </row>
    <row r="10" spans="1:8" x14ac:dyDescent="0.3">
      <c r="A10" s="4" t="s">
        <v>51</v>
      </c>
      <c r="B10" s="3">
        <v>46055</v>
      </c>
      <c r="C10" s="5">
        <v>108.61</v>
      </c>
      <c r="D10" s="6" t="s">
        <v>31</v>
      </c>
      <c r="E10" s="6" t="s">
        <v>52</v>
      </c>
      <c r="F10" s="4" t="s">
        <v>33</v>
      </c>
      <c r="G10" s="10">
        <v>46059</v>
      </c>
      <c r="H10" s="6">
        <f t="shared" si="0"/>
        <v>4</v>
      </c>
    </row>
    <row r="11" spans="1:8" x14ac:dyDescent="0.3">
      <c r="A11" s="4" t="s">
        <v>53</v>
      </c>
      <c r="B11" s="3">
        <v>46047</v>
      </c>
      <c r="C11" s="5">
        <v>2335.61</v>
      </c>
      <c r="D11" s="6" t="s">
        <v>37</v>
      </c>
      <c r="E11" s="6" t="s">
        <v>54</v>
      </c>
      <c r="F11" s="4" t="s">
        <v>46</v>
      </c>
      <c r="G11" s="10"/>
      <c r="H11" s="6" t="str">
        <f t="shared" si="0"/>
        <v/>
      </c>
    </row>
  </sheetData>
  <conditionalFormatting sqref="F2:F200">
    <cfRule type="cellIs" dxfId="5" priority="1" operator="equal">
      <formula>"Returned"</formula>
    </cfRule>
    <cfRule type="cellIs" dxfId="4" priority="2" operator="equal">
      <formula>"Scheduled"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workbookViewId="0">
      <selection activeCell="F15" sqref="F15"/>
    </sheetView>
  </sheetViews>
  <sheetFormatPr defaultRowHeight="14.4" x14ac:dyDescent="0.3"/>
  <cols>
    <col min="1" max="1" width="12" customWidth="1"/>
    <col min="2" max="2" width="16" customWidth="1"/>
    <col min="3" max="3" width="20" customWidth="1"/>
    <col min="4" max="6" width="12" customWidth="1"/>
    <col min="7" max="7" width="18" customWidth="1"/>
    <col min="8" max="9" width="12" customWidth="1"/>
  </cols>
  <sheetData>
    <row r="1" spans="1:9" ht="17.55" customHeight="1" x14ac:dyDescent="0.3">
      <c r="A1" s="1" t="s">
        <v>0</v>
      </c>
      <c r="B1" s="1" t="s">
        <v>55</v>
      </c>
      <c r="C1" s="1" t="s">
        <v>56</v>
      </c>
      <c r="D1" s="1" t="s">
        <v>2</v>
      </c>
      <c r="E1" s="1" t="s">
        <v>57</v>
      </c>
      <c r="F1" s="1" t="s">
        <v>58</v>
      </c>
      <c r="G1" s="1" t="s">
        <v>59</v>
      </c>
      <c r="H1" s="1" t="s">
        <v>5</v>
      </c>
      <c r="I1" s="1" t="s">
        <v>6</v>
      </c>
    </row>
    <row r="2" spans="1:9" x14ac:dyDescent="0.3">
      <c r="A2" s="3">
        <v>46065</v>
      </c>
      <c r="B2" s="4" t="s">
        <v>60</v>
      </c>
      <c r="C2" s="6" t="s">
        <v>61</v>
      </c>
      <c r="D2" s="5">
        <v>27.35</v>
      </c>
      <c r="E2" s="6" t="s">
        <v>62</v>
      </c>
      <c r="F2" s="4" t="s">
        <v>63</v>
      </c>
      <c r="G2" s="5">
        <v>27.35</v>
      </c>
      <c r="H2" s="6" t="str">
        <f t="shared" ref="H2:H13" si="0">IF(ROUND(I2,2)=0,"Y","N")</f>
        <v>Y</v>
      </c>
      <c r="I2" s="5">
        <f t="shared" ref="I2:I13" si="1">G2-D2</f>
        <v>0</v>
      </c>
    </row>
    <row r="3" spans="1:9" x14ac:dyDescent="0.3">
      <c r="A3" s="3">
        <v>46062</v>
      </c>
      <c r="B3" s="4" t="s">
        <v>64</v>
      </c>
      <c r="C3" s="6" t="s">
        <v>65</v>
      </c>
      <c r="D3" s="5">
        <v>228.86</v>
      </c>
      <c r="E3" s="6" t="s">
        <v>62</v>
      </c>
      <c r="F3" s="4" t="s">
        <v>66</v>
      </c>
      <c r="G3" s="5">
        <v>228.86</v>
      </c>
      <c r="H3" s="6" t="str">
        <f t="shared" si="0"/>
        <v>Y</v>
      </c>
      <c r="I3" s="5">
        <f t="shared" si="1"/>
        <v>0</v>
      </c>
    </row>
    <row r="4" spans="1:9" x14ac:dyDescent="0.3">
      <c r="A4" s="3">
        <v>46059</v>
      </c>
      <c r="B4" s="4" t="s">
        <v>67</v>
      </c>
      <c r="C4" s="6" t="s">
        <v>68</v>
      </c>
      <c r="D4" s="5">
        <v>86.47</v>
      </c>
      <c r="E4" s="6" t="s">
        <v>69</v>
      </c>
      <c r="F4" s="4" t="s">
        <v>70</v>
      </c>
      <c r="G4" s="5">
        <v>86.47</v>
      </c>
      <c r="H4" s="6" t="str">
        <f t="shared" si="0"/>
        <v>Y</v>
      </c>
      <c r="I4" s="5">
        <f t="shared" si="1"/>
        <v>0</v>
      </c>
    </row>
    <row r="5" spans="1:9" x14ac:dyDescent="0.3">
      <c r="A5" s="3">
        <v>46042</v>
      </c>
      <c r="B5" s="4" t="s">
        <v>71</v>
      </c>
      <c r="C5" s="6" t="s">
        <v>72</v>
      </c>
      <c r="D5" s="5">
        <v>234.63</v>
      </c>
      <c r="E5" s="6" t="s">
        <v>69</v>
      </c>
      <c r="F5" s="4" t="s">
        <v>73</v>
      </c>
      <c r="G5" s="5">
        <v>230.95</v>
      </c>
      <c r="H5" s="6" t="str">
        <f t="shared" si="0"/>
        <v>N</v>
      </c>
      <c r="I5" s="5">
        <f t="shared" si="1"/>
        <v>-3.6800000000000068</v>
      </c>
    </row>
    <row r="6" spans="1:9" x14ac:dyDescent="0.3">
      <c r="A6" s="3">
        <v>46067</v>
      </c>
      <c r="B6" s="4" t="s">
        <v>74</v>
      </c>
      <c r="C6" s="6" t="s">
        <v>75</v>
      </c>
      <c r="D6" s="5">
        <v>189.67</v>
      </c>
      <c r="E6" s="6" t="s">
        <v>69</v>
      </c>
      <c r="F6" s="4" t="s">
        <v>76</v>
      </c>
      <c r="G6" s="5">
        <v>189.67</v>
      </c>
      <c r="H6" s="6" t="str">
        <f t="shared" si="0"/>
        <v>Y</v>
      </c>
      <c r="I6" s="5">
        <f t="shared" si="1"/>
        <v>0</v>
      </c>
    </row>
    <row r="7" spans="1:9" x14ac:dyDescent="0.3">
      <c r="A7" s="3">
        <v>46065</v>
      </c>
      <c r="B7" s="4" t="s">
        <v>77</v>
      </c>
      <c r="C7" s="6" t="s">
        <v>78</v>
      </c>
      <c r="D7" s="5">
        <v>17.760000000000002</v>
      </c>
      <c r="E7" s="6" t="s">
        <v>79</v>
      </c>
      <c r="F7" s="4" t="s">
        <v>80</v>
      </c>
      <c r="G7" s="5">
        <v>16.55</v>
      </c>
      <c r="H7" s="6" t="str">
        <f t="shared" si="0"/>
        <v>N</v>
      </c>
      <c r="I7" s="5">
        <f t="shared" si="1"/>
        <v>-1.2100000000000009</v>
      </c>
    </row>
    <row r="8" spans="1:9" x14ac:dyDescent="0.3">
      <c r="A8" s="3">
        <v>46051</v>
      </c>
      <c r="B8" s="4" t="s">
        <v>81</v>
      </c>
      <c r="C8" s="6" t="s">
        <v>82</v>
      </c>
      <c r="D8" s="5">
        <v>332.65</v>
      </c>
      <c r="E8" s="6" t="s">
        <v>79</v>
      </c>
      <c r="F8" s="18">
        <v>586004</v>
      </c>
      <c r="G8" s="5">
        <v>336.46</v>
      </c>
      <c r="H8" s="6" t="str">
        <f t="shared" si="0"/>
        <v>N</v>
      </c>
      <c r="I8" s="5">
        <f t="shared" si="1"/>
        <v>3.8100000000000023</v>
      </c>
    </row>
    <row r="9" spans="1:9" x14ac:dyDescent="0.3">
      <c r="A9" s="3">
        <v>46048</v>
      </c>
      <c r="B9" s="4" t="s">
        <v>83</v>
      </c>
      <c r="C9" s="6" t="s">
        <v>84</v>
      </c>
      <c r="D9" s="5">
        <v>67.16</v>
      </c>
      <c r="E9" s="6" t="s">
        <v>62</v>
      </c>
      <c r="F9" s="4" t="s">
        <v>85</v>
      </c>
      <c r="G9" s="5">
        <v>67.16</v>
      </c>
      <c r="H9" s="6" t="str">
        <f t="shared" si="0"/>
        <v>Y</v>
      </c>
      <c r="I9" s="5">
        <f t="shared" si="1"/>
        <v>0</v>
      </c>
    </row>
    <row r="10" spans="1:9" x14ac:dyDescent="0.3">
      <c r="A10" s="3">
        <v>46067</v>
      </c>
      <c r="B10" s="4" t="s">
        <v>86</v>
      </c>
      <c r="C10" s="6" t="s">
        <v>87</v>
      </c>
      <c r="D10" s="5">
        <v>208.43</v>
      </c>
      <c r="E10" s="6" t="s">
        <v>62</v>
      </c>
      <c r="F10" s="18">
        <v>979499</v>
      </c>
      <c r="G10" s="5">
        <v>208.43</v>
      </c>
      <c r="H10" s="6" t="str">
        <f t="shared" si="0"/>
        <v>Y</v>
      </c>
      <c r="I10" s="5">
        <f t="shared" si="1"/>
        <v>0</v>
      </c>
    </row>
    <row r="11" spans="1:9" x14ac:dyDescent="0.3">
      <c r="A11" s="3">
        <v>46055</v>
      </c>
      <c r="B11" s="4" t="s">
        <v>88</v>
      </c>
      <c r="C11" s="6" t="s">
        <v>89</v>
      </c>
      <c r="D11" s="5">
        <v>245.71</v>
      </c>
      <c r="E11" s="6" t="s">
        <v>69</v>
      </c>
      <c r="F11" s="4" t="s">
        <v>90</v>
      </c>
      <c r="G11" s="5">
        <v>245.71</v>
      </c>
      <c r="H11" s="6" t="str">
        <f t="shared" si="0"/>
        <v>Y</v>
      </c>
      <c r="I11" s="5">
        <f t="shared" si="1"/>
        <v>0</v>
      </c>
    </row>
    <row r="12" spans="1:9" x14ac:dyDescent="0.3">
      <c r="A12" s="3">
        <v>46055</v>
      </c>
      <c r="B12" s="4" t="s">
        <v>91</v>
      </c>
      <c r="C12" s="6" t="s">
        <v>92</v>
      </c>
      <c r="D12" s="5">
        <v>47.57</v>
      </c>
      <c r="E12" s="6" t="s">
        <v>62</v>
      </c>
      <c r="F12" s="4" t="s">
        <v>93</v>
      </c>
      <c r="G12" s="5">
        <v>48.46</v>
      </c>
      <c r="H12" s="6" t="str">
        <f t="shared" si="0"/>
        <v>N</v>
      </c>
      <c r="I12" s="5">
        <f t="shared" si="1"/>
        <v>0.89000000000000057</v>
      </c>
    </row>
    <row r="13" spans="1:9" x14ac:dyDescent="0.3">
      <c r="A13" s="3">
        <v>46066</v>
      </c>
      <c r="B13" s="4" t="s">
        <v>94</v>
      </c>
      <c r="C13" s="6" t="s">
        <v>61</v>
      </c>
      <c r="D13" s="5">
        <v>286.37</v>
      </c>
      <c r="E13" s="6" t="s">
        <v>69</v>
      </c>
      <c r="F13" s="4" t="s">
        <v>95</v>
      </c>
      <c r="G13" s="5">
        <v>285.48</v>
      </c>
      <c r="H13" s="6" t="str">
        <f t="shared" si="0"/>
        <v>N</v>
      </c>
      <c r="I13" s="5">
        <f t="shared" si="1"/>
        <v>-0.88999999999998636</v>
      </c>
    </row>
  </sheetData>
  <conditionalFormatting sqref="I2:I500">
    <cfRule type="cellIs" dxfId="3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activeCell="F7" sqref="F7"/>
    </sheetView>
  </sheetViews>
  <sheetFormatPr defaultRowHeight="14.4" x14ac:dyDescent="0.3"/>
  <cols>
    <col min="1" max="1" width="12" customWidth="1"/>
    <col min="2" max="2" width="24" customWidth="1"/>
    <col min="3" max="3" width="26" customWidth="1"/>
    <col min="4" max="6" width="16" customWidth="1"/>
    <col min="7" max="7" width="14" customWidth="1"/>
    <col min="8" max="8" width="26" customWidth="1"/>
  </cols>
  <sheetData>
    <row r="1" spans="1:8" ht="17.55" customHeight="1" x14ac:dyDescent="0.3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 x14ac:dyDescent="0.3">
      <c r="A2" s="4" t="s">
        <v>104</v>
      </c>
      <c r="B2" s="4" t="s">
        <v>105</v>
      </c>
      <c r="C2" s="6" t="s">
        <v>106</v>
      </c>
      <c r="D2" s="6" t="s">
        <v>107</v>
      </c>
      <c r="E2" s="6" t="s">
        <v>31</v>
      </c>
      <c r="F2" s="4" t="s">
        <v>108</v>
      </c>
      <c r="G2" s="10">
        <v>45889</v>
      </c>
      <c r="H2" s="6" t="s">
        <v>109</v>
      </c>
    </row>
    <row r="3" spans="1:8" x14ac:dyDescent="0.3">
      <c r="A3" s="4" t="s">
        <v>110</v>
      </c>
      <c r="B3" s="4" t="s">
        <v>111</v>
      </c>
      <c r="C3" s="6" t="s">
        <v>112</v>
      </c>
      <c r="D3" s="6" t="s">
        <v>113</v>
      </c>
      <c r="E3" s="6" t="s">
        <v>31</v>
      </c>
      <c r="F3" s="4" t="s">
        <v>108</v>
      </c>
      <c r="G3" s="10">
        <v>46052</v>
      </c>
      <c r="H3" s="6" t="s">
        <v>109</v>
      </c>
    </row>
    <row r="4" spans="1:8" x14ac:dyDescent="0.3">
      <c r="A4" s="4" t="s">
        <v>114</v>
      </c>
      <c r="B4" s="4" t="s">
        <v>115</v>
      </c>
      <c r="C4" s="6" t="s">
        <v>116</v>
      </c>
      <c r="D4" s="6" t="s">
        <v>117</v>
      </c>
      <c r="E4" s="6" t="s">
        <v>118</v>
      </c>
      <c r="F4" s="4" t="s">
        <v>119</v>
      </c>
      <c r="G4" s="10">
        <v>45944</v>
      </c>
      <c r="H4" s="6" t="s">
        <v>109</v>
      </c>
    </row>
    <row r="5" spans="1:8" x14ac:dyDescent="0.3">
      <c r="A5" s="4" t="s">
        <v>120</v>
      </c>
      <c r="B5" s="4" t="s">
        <v>121</v>
      </c>
      <c r="C5" s="6" t="s">
        <v>122</v>
      </c>
      <c r="D5" s="6" t="s">
        <v>123</v>
      </c>
      <c r="E5" s="6" t="s">
        <v>118</v>
      </c>
      <c r="F5" s="4" t="s">
        <v>108</v>
      </c>
      <c r="G5" s="10">
        <v>45989</v>
      </c>
      <c r="H5" s="6" t="s">
        <v>109</v>
      </c>
    </row>
    <row r="6" spans="1:8" x14ac:dyDescent="0.3">
      <c r="A6" s="4" t="s">
        <v>124</v>
      </c>
      <c r="B6" s="4" t="s">
        <v>125</v>
      </c>
      <c r="C6" s="6" t="s">
        <v>126</v>
      </c>
      <c r="D6" s="6" t="s">
        <v>127</v>
      </c>
      <c r="E6" s="6" t="s">
        <v>31</v>
      </c>
      <c r="F6" s="4" t="s">
        <v>119</v>
      </c>
      <c r="G6" s="10">
        <v>45978</v>
      </c>
      <c r="H6" s="6" t="s">
        <v>109</v>
      </c>
    </row>
    <row r="7" spans="1:8" x14ac:dyDescent="0.3">
      <c r="A7" s="4" t="s">
        <v>128</v>
      </c>
      <c r="B7" s="4" t="s">
        <v>129</v>
      </c>
      <c r="C7" s="6" t="s">
        <v>130</v>
      </c>
      <c r="D7" s="6" t="s">
        <v>131</v>
      </c>
      <c r="E7" s="6" t="s">
        <v>31</v>
      </c>
      <c r="F7" s="4" t="s">
        <v>119</v>
      </c>
      <c r="G7" s="10">
        <v>45902</v>
      </c>
      <c r="H7" s="6" t="s">
        <v>109</v>
      </c>
    </row>
    <row r="8" spans="1:8" x14ac:dyDescent="0.3">
      <c r="A8" s="4" t="s">
        <v>132</v>
      </c>
      <c r="B8" s="4" t="s">
        <v>133</v>
      </c>
      <c r="C8" s="6" t="s">
        <v>134</v>
      </c>
      <c r="D8" s="6" t="s">
        <v>135</v>
      </c>
      <c r="E8" s="6" t="s">
        <v>31</v>
      </c>
      <c r="F8" s="4" t="s">
        <v>108</v>
      </c>
      <c r="G8" s="10">
        <v>45902</v>
      </c>
      <c r="H8" s="6" t="s">
        <v>109</v>
      </c>
    </row>
    <row r="9" spans="1:8" x14ac:dyDescent="0.3">
      <c r="A9" s="4" t="s">
        <v>136</v>
      </c>
      <c r="B9" s="4" t="s">
        <v>137</v>
      </c>
      <c r="C9" s="6" t="s">
        <v>138</v>
      </c>
      <c r="D9" s="6" t="s">
        <v>139</v>
      </c>
      <c r="E9" s="6" t="s">
        <v>118</v>
      </c>
      <c r="F9" s="4" t="s">
        <v>108</v>
      </c>
      <c r="G9" s="10">
        <v>45998</v>
      </c>
      <c r="H9" s="6" t="s">
        <v>109</v>
      </c>
    </row>
    <row r="10" spans="1:8" x14ac:dyDescent="0.3">
      <c r="A10" s="4" t="s">
        <v>140</v>
      </c>
      <c r="B10" s="4" t="s">
        <v>141</v>
      </c>
      <c r="C10" s="6" t="s">
        <v>142</v>
      </c>
      <c r="D10" s="6" t="s">
        <v>143</v>
      </c>
      <c r="E10" s="6" t="s">
        <v>118</v>
      </c>
      <c r="F10" s="4" t="s">
        <v>119</v>
      </c>
      <c r="G10" s="10">
        <v>46011</v>
      </c>
      <c r="H10" s="6" t="s">
        <v>109</v>
      </c>
    </row>
    <row r="11" spans="1:8" x14ac:dyDescent="0.3">
      <c r="A11" s="4" t="s">
        <v>144</v>
      </c>
      <c r="B11" s="4" t="s">
        <v>145</v>
      </c>
      <c r="C11" s="6" t="s">
        <v>146</v>
      </c>
      <c r="D11" s="6" t="s">
        <v>147</v>
      </c>
      <c r="E11" s="6" t="s">
        <v>31</v>
      </c>
      <c r="F11" s="4" t="s">
        <v>119</v>
      </c>
      <c r="G11" s="10">
        <v>46053</v>
      </c>
      <c r="H11" s="6" t="s">
        <v>109</v>
      </c>
    </row>
    <row r="12" spans="1:8" x14ac:dyDescent="0.3">
      <c r="A12" s="4" t="s">
        <v>148</v>
      </c>
      <c r="B12" s="4" t="s">
        <v>149</v>
      </c>
      <c r="C12" s="6" t="s">
        <v>150</v>
      </c>
      <c r="D12" s="6" t="s">
        <v>151</v>
      </c>
      <c r="E12" s="6" t="s">
        <v>31</v>
      </c>
      <c r="F12" s="4" t="s">
        <v>119</v>
      </c>
      <c r="G12" s="10">
        <v>46041</v>
      </c>
      <c r="H12" s="6" t="s">
        <v>109</v>
      </c>
    </row>
    <row r="13" spans="1:8" x14ac:dyDescent="0.3">
      <c r="A13" s="4" t="s">
        <v>152</v>
      </c>
      <c r="B13" s="4" t="s">
        <v>153</v>
      </c>
      <c r="C13" s="6" t="s">
        <v>154</v>
      </c>
      <c r="D13" s="6" t="s">
        <v>155</v>
      </c>
      <c r="E13" s="6" t="s">
        <v>156</v>
      </c>
      <c r="F13" s="4" t="s">
        <v>119</v>
      </c>
      <c r="G13" s="10">
        <v>46028</v>
      </c>
      <c r="H13" s="6" t="s">
        <v>109</v>
      </c>
    </row>
    <row r="14" spans="1:8" x14ac:dyDescent="0.3">
      <c r="A14" s="4" t="s">
        <v>157</v>
      </c>
      <c r="B14" s="4" t="s">
        <v>158</v>
      </c>
      <c r="C14" s="6" t="s">
        <v>159</v>
      </c>
      <c r="D14" s="6" t="s">
        <v>160</v>
      </c>
      <c r="E14" s="6" t="s">
        <v>118</v>
      </c>
      <c r="F14" s="4" t="s">
        <v>108</v>
      </c>
      <c r="G14" s="10">
        <v>46056</v>
      </c>
      <c r="H14" s="6" t="s">
        <v>109</v>
      </c>
    </row>
    <row r="15" spans="1:8" x14ac:dyDescent="0.3">
      <c r="A15" s="4" t="s">
        <v>161</v>
      </c>
      <c r="B15" s="4" t="s">
        <v>162</v>
      </c>
      <c r="C15" s="6" t="s">
        <v>163</v>
      </c>
      <c r="D15" s="6" t="s">
        <v>164</v>
      </c>
      <c r="E15" s="6" t="s">
        <v>31</v>
      </c>
      <c r="F15" s="4" t="s">
        <v>108</v>
      </c>
      <c r="G15" s="10">
        <v>45904</v>
      </c>
      <c r="H15" s="6" t="s">
        <v>109</v>
      </c>
    </row>
    <row r="16" spans="1:8" x14ac:dyDescent="0.3">
      <c r="A16" s="4" t="s">
        <v>165</v>
      </c>
      <c r="B16" s="4" t="s">
        <v>166</v>
      </c>
      <c r="C16" s="6" t="s">
        <v>167</v>
      </c>
      <c r="D16" s="6" t="s">
        <v>168</v>
      </c>
      <c r="E16" s="6" t="s">
        <v>156</v>
      </c>
      <c r="F16" s="4" t="s">
        <v>108</v>
      </c>
      <c r="G16" s="10">
        <v>45962</v>
      </c>
      <c r="H16" s="6" t="s">
        <v>109</v>
      </c>
    </row>
  </sheetData>
  <conditionalFormatting sqref="G2:G500">
    <cfRule type="expression" dxfId="2" priority="1">
      <formula>TODAY()-G2&gt;90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/>
  </sheetViews>
  <sheetFormatPr defaultRowHeight="14.4" x14ac:dyDescent="0.3"/>
  <cols>
    <col min="1" max="1" width="18" customWidth="1"/>
    <col min="2" max="3" width="12" customWidth="1"/>
    <col min="4" max="4" width="14" customWidth="1"/>
    <col min="5" max="5" width="16" customWidth="1"/>
    <col min="6" max="7" width="14" customWidth="1"/>
    <col min="8" max="8" width="16" customWidth="1"/>
    <col min="9" max="9" width="24" customWidth="1"/>
  </cols>
  <sheetData>
    <row r="1" spans="1:9" ht="17.55" customHeight="1" x14ac:dyDescent="0.3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103</v>
      </c>
    </row>
    <row r="2" spans="1:9" x14ac:dyDescent="0.3">
      <c r="A2" s="4" t="s">
        <v>177</v>
      </c>
      <c r="B2" s="4" t="s">
        <v>178</v>
      </c>
      <c r="C2" s="10">
        <v>46025</v>
      </c>
      <c r="D2" s="5">
        <v>1065.5999999999999</v>
      </c>
      <c r="E2" s="6">
        <f t="shared" ref="E2:E14" ca="1" si="0">TODAY()-C2</f>
        <v>42</v>
      </c>
      <c r="F2" s="4" t="str">
        <f t="shared" ref="F2:F14" ca="1" si="1">IF(E2&lt;30,"0-29",IF(E2&lt;60,"30-59",IF(E2&lt;90,"60-89","90+")))</f>
        <v>30-59</v>
      </c>
      <c r="G2" s="6" t="s">
        <v>109</v>
      </c>
      <c r="H2" s="10"/>
      <c r="I2" s="6" t="s">
        <v>109</v>
      </c>
    </row>
    <row r="3" spans="1:9" x14ac:dyDescent="0.3">
      <c r="A3" s="4" t="s">
        <v>179</v>
      </c>
      <c r="B3" s="4" t="s">
        <v>180</v>
      </c>
      <c r="C3" s="10">
        <v>46027</v>
      </c>
      <c r="D3" s="5">
        <v>1097.1199999999999</v>
      </c>
      <c r="E3" s="6">
        <f t="shared" ca="1" si="0"/>
        <v>40</v>
      </c>
      <c r="F3" s="4" t="str">
        <f t="shared" ca="1" si="1"/>
        <v>30-59</v>
      </c>
      <c r="G3" s="6" t="s">
        <v>109</v>
      </c>
      <c r="H3" s="10"/>
      <c r="I3" s="6" t="s">
        <v>109</v>
      </c>
    </row>
    <row r="4" spans="1:9" x14ac:dyDescent="0.3">
      <c r="A4" s="4" t="s">
        <v>181</v>
      </c>
      <c r="B4" s="4" t="s">
        <v>182</v>
      </c>
      <c r="C4" s="10">
        <v>45961</v>
      </c>
      <c r="D4" s="5">
        <v>350</v>
      </c>
      <c r="E4" s="6">
        <f t="shared" ca="1" si="0"/>
        <v>106</v>
      </c>
      <c r="F4" s="4" t="str">
        <f t="shared" ca="1" si="1"/>
        <v>90+</v>
      </c>
      <c r="G4" s="6" t="s">
        <v>109</v>
      </c>
      <c r="H4" s="10"/>
      <c r="I4" s="6" t="s">
        <v>109</v>
      </c>
    </row>
    <row r="5" spans="1:9" x14ac:dyDescent="0.3">
      <c r="A5" s="4" t="s">
        <v>183</v>
      </c>
      <c r="B5" s="4" t="s">
        <v>184</v>
      </c>
      <c r="C5" s="10">
        <v>45977</v>
      </c>
      <c r="D5" s="5">
        <v>219.33</v>
      </c>
      <c r="E5" s="6">
        <f t="shared" ca="1" si="0"/>
        <v>90</v>
      </c>
      <c r="F5" s="4" t="str">
        <f t="shared" ca="1" si="1"/>
        <v>90+</v>
      </c>
      <c r="G5" s="6" t="s">
        <v>109</v>
      </c>
      <c r="H5" s="10"/>
      <c r="I5" s="6" t="s">
        <v>109</v>
      </c>
    </row>
    <row r="6" spans="1:9" x14ac:dyDescent="0.3">
      <c r="A6" s="4" t="s">
        <v>185</v>
      </c>
      <c r="B6" s="4" t="s">
        <v>186</v>
      </c>
      <c r="C6" s="10">
        <v>46010</v>
      </c>
      <c r="D6" s="5">
        <v>1337.86</v>
      </c>
      <c r="E6" s="6">
        <f t="shared" ca="1" si="0"/>
        <v>57</v>
      </c>
      <c r="F6" s="4" t="str">
        <f t="shared" ca="1" si="1"/>
        <v>30-59</v>
      </c>
      <c r="G6" s="6" t="s">
        <v>109</v>
      </c>
      <c r="H6" s="10"/>
      <c r="I6" s="6" t="s">
        <v>109</v>
      </c>
    </row>
    <row r="7" spans="1:9" x14ac:dyDescent="0.3">
      <c r="A7" s="4" t="s">
        <v>187</v>
      </c>
      <c r="B7" s="4" t="s">
        <v>188</v>
      </c>
      <c r="C7" s="10">
        <v>46003</v>
      </c>
      <c r="D7" s="5">
        <v>370.95</v>
      </c>
      <c r="E7" s="6">
        <f t="shared" ca="1" si="0"/>
        <v>64</v>
      </c>
      <c r="F7" s="4" t="str">
        <f t="shared" ca="1" si="1"/>
        <v>60-89</v>
      </c>
      <c r="G7" s="6" t="s">
        <v>109</v>
      </c>
      <c r="H7" s="10">
        <v>46025</v>
      </c>
      <c r="I7" s="6" t="s">
        <v>109</v>
      </c>
    </row>
    <row r="8" spans="1:9" x14ac:dyDescent="0.3">
      <c r="A8" s="4" t="s">
        <v>189</v>
      </c>
      <c r="B8" s="4" t="s">
        <v>190</v>
      </c>
      <c r="C8" s="10">
        <v>45972</v>
      </c>
      <c r="D8" s="5">
        <v>1131.78</v>
      </c>
      <c r="E8" s="6">
        <f t="shared" ca="1" si="0"/>
        <v>95</v>
      </c>
      <c r="F8" s="4" t="str">
        <f t="shared" ca="1" si="1"/>
        <v>90+</v>
      </c>
      <c r="G8" s="6" t="s">
        <v>109</v>
      </c>
      <c r="H8" s="10"/>
      <c r="I8" s="6" t="s">
        <v>109</v>
      </c>
    </row>
    <row r="9" spans="1:9" x14ac:dyDescent="0.3">
      <c r="A9" s="4" t="s">
        <v>191</v>
      </c>
      <c r="B9" s="4" t="s">
        <v>192</v>
      </c>
      <c r="C9" s="10">
        <v>46002</v>
      </c>
      <c r="D9" s="5">
        <v>146.58000000000001</v>
      </c>
      <c r="E9" s="6">
        <f t="shared" ca="1" si="0"/>
        <v>65</v>
      </c>
      <c r="F9" s="4" t="str">
        <f t="shared" ca="1" si="1"/>
        <v>60-89</v>
      </c>
      <c r="G9" s="6" t="s">
        <v>109</v>
      </c>
      <c r="H9" s="10"/>
      <c r="I9" s="6" t="s">
        <v>109</v>
      </c>
    </row>
    <row r="10" spans="1:9" x14ac:dyDescent="0.3">
      <c r="A10" s="4" t="s">
        <v>193</v>
      </c>
      <c r="B10" s="4" t="s">
        <v>194</v>
      </c>
      <c r="C10" s="10">
        <v>46041</v>
      </c>
      <c r="D10" s="5">
        <v>569.82000000000005</v>
      </c>
      <c r="E10" s="6">
        <f t="shared" ca="1" si="0"/>
        <v>26</v>
      </c>
      <c r="F10" s="4" t="str">
        <f t="shared" ca="1" si="1"/>
        <v>0-29</v>
      </c>
      <c r="G10" s="6" t="s">
        <v>109</v>
      </c>
      <c r="H10" s="10">
        <v>46049</v>
      </c>
      <c r="I10" s="6" t="s">
        <v>109</v>
      </c>
    </row>
    <row r="11" spans="1:9" x14ac:dyDescent="0.3">
      <c r="A11" s="4" t="s">
        <v>195</v>
      </c>
      <c r="B11" s="4" t="s">
        <v>196</v>
      </c>
      <c r="C11" s="10">
        <v>46034</v>
      </c>
      <c r="D11" s="5">
        <v>670.69</v>
      </c>
      <c r="E11" s="6">
        <f t="shared" ca="1" si="0"/>
        <v>33</v>
      </c>
      <c r="F11" s="4" t="str">
        <f t="shared" ca="1" si="1"/>
        <v>30-59</v>
      </c>
      <c r="G11" s="6" t="s">
        <v>109</v>
      </c>
      <c r="H11" s="10"/>
      <c r="I11" s="6" t="s">
        <v>109</v>
      </c>
    </row>
    <row r="12" spans="1:9" x14ac:dyDescent="0.3">
      <c r="A12" s="4" t="s">
        <v>197</v>
      </c>
      <c r="B12" s="4" t="s">
        <v>198</v>
      </c>
      <c r="C12" s="10">
        <v>46016</v>
      </c>
      <c r="D12" s="5">
        <v>389.37</v>
      </c>
      <c r="E12" s="6">
        <f t="shared" ca="1" si="0"/>
        <v>51</v>
      </c>
      <c r="F12" s="4" t="str">
        <f t="shared" ca="1" si="1"/>
        <v>30-59</v>
      </c>
      <c r="G12" s="6" t="s">
        <v>109</v>
      </c>
      <c r="H12" s="10"/>
      <c r="I12" s="6" t="s">
        <v>109</v>
      </c>
    </row>
    <row r="13" spans="1:9" x14ac:dyDescent="0.3">
      <c r="A13" s="4" t="s">
        <v>199</v>
      </c>
      <c r="B13" s="4" t="s">
        <v>200</v>
      </c>
      <c r="C13" s="10">
        <v>46057</v>
      </c>
      <c r="D13" s="5">
        <v>1129.3599999999999</v>
      </c>
      <c r="E13" s="6">
        <f t="shared" ca="1" si="0"/>
        <v>10</v>
      </c>
      <c r="F13" s="4" t="str">
        <f t="shared" ca="1" si="1"/>
        <v>0-29</v>
      </c>
      <c r="G13" s="6" t="s">
        <v>109</v>
      </c>
      <c r="H13" s="10">
        <v>46062</v>
      </c>
      <c r="I13" s="6" t="s">
        <v>109</v>
      </c>
    </row>
    <row r="14" spans="1:9" x14ac:dyDescent="0.3">
      <c r="A14" s="4" t="s">
        <v>201</v>
      </c>
      <c r="B14" s="4" t="s">
        <v>202</v>
      </c>
      <c r="C14" s="10">
        <v>45958</v>
      </c>
      <c r="D14" s="5">
        <v>1128.0899999999999</v>
      </c>
      <c r="E14" s="6">
        <f t="shared" ca="1" si="0"/>
        <v>109</v>
      </c>
      <c r="F14" s="4" t="str">
        <f t="shared" ca="1" si="1"/>
        <v>90+</v>
      </c>
      <c r="G14" s="6" t="s">
        <v>109</v>
      </c>
      <c r="H14" s="10"/>
      <c r="I14" s="6" t="s">
        <v>109</v>
      </c>
    </row>
  </sheetData>
  <conditionalFormatting sqref="E2:E500">
    <cfRule type="cellIs" dxfId="1" priority="1" operator="greaterThanOrEqual">
      <formula>90</formula>
    </cfRule>
  </conditionalFormatting>
  <conditionalFormatting sqref="G2:G500">
    <cfRule type="cellIs" dxfId="0" priority="2" operator="equal">
      <formula>"N"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4.4" x14ac:dyDescent="0.3"/>
  <cols>
    <col min="1" max="1" width="32" customWidth="1"/>
    <col min="2" max="2" width="18" customWidth="1"/>
    <col min="3" max="3" width="3" customWidth="1"/>
    <col min="4" max="4" width="40" customWidth="1"/>
    <col min="5" max="5" width="18" customWidth="1"/>
  </cols>
  <sheetData>
    <row r="1" spans="1:5" ht="22.35" customHeight="1" x14ac:dyDescent="0.3">
      <c r="A1" s="15" t="s">
        <v>203</v>
      </c>
      <c r="B1" s="16"/>
      <c r="C1" s="16"/>
      <c r="D1" s="16"/>
      <c r="E1" s="16"/>
    </row>
    <row r="2" spans="1:5" x14ac:dyDescent="0.3">
      <c r="A2" s="11" t="s">
        <v>204</v>
      </c>
      <c r="B2" s="11" t="s">
        <v>205</v>
      </c>
      <c r="D2" s="11" t="s">
        <v>206</v>
      </c>
    </row>
    <row r="3" spans="1:5" x14ac:dyDescent="0.3">
      <c r="A3" s="12" t="s">
        <v>207</v>
      </c>
      <c r="B3" s="5">
        <f>SUM(Bank_Deposits!C2:C1000)</f>
        <v>28130.449999999997</v>
      </c>
      <c r="D3" s="17" t="s">
        <v>208</v>
      </c>
      <c r="E3" s="16"/>
    </row>
    <row r="4" spans="1:5" x14ac:dyDescent="0.3">
      <c r="A4" s="12" t="s">
        <v>209</v>
      </c>
      <c r="B4" s="13">
        <f>Bank_Deposits!J3</f>
        <v>0.8</v>
      </c>
      <c r="D4" s="16"/>
      <c r="E4" s="16"/>
    </row>
    <row r="5" spans="1:5" x14ac:dyDescent="0.3">
      <c r="A5" s="12" t="s">
        <v>210</v>
      </c>
      <c r="B5" s="5">
        <f>SUM(Direct_Deposits!C2:C1000)</f>
        <v>10225.98</v>
      </c>
      <c r="D5" s="16"/>
      <c r="E5" s="16"/>
    </row>
    <row r="6" spans="1:5" x14ac:dyDescent="0.3">
      <c r="A6" s="12" t="s">
        <v>211</v>
      </c>
      <c r="B6" s="13">
        <f>IF(COUNTIF(Direct_Deposits!F2:F1000,"Cleared")+COUNTIF(Direct_Deposits!F2:F1000,"Returned")+COUNTIF(Direct_Deposits!F2:F1000,"Sent")+COUNTIF(Direct_Deposits!F2:F1000,"Scheduled")=0,0,COUNTIF(Direct_Deposits!F2:F1000,"Cleared")/(COUNTIF(Direct_Deposits!F2:F1000,"Cleared")+COUNTIF(Direct_Deposits!F2:F1000,"Returned")+COUNTIF(Direct_Deposits!F2:F1000,"Sent")+COUNTIF(Direct_Deposits!F2:F1000,"Scheduled")))</f>
        <v>0.6</v>
      </c>
      <c r="D6" s="16"/>
      <c r="E6" s="16"/>
    </row>
    <row r="7" spans="1:5" x14ac:dyDescent="0.3">
      <c r="A7" s="12" t="s">
        <v>212</v>
      </c>
      <c r="B7" s="5">
        <f>SUM(CreditCard_Payments!D2:D2000)</f>
        <v>1972.63</v>
      </c>
      <c r="D7" s="16"/>
      <c r="E7" s="16"/>
    </row>
    <row r="8" spans="1:5" x14ac:dyDescent="0.3">
      <c r="A8" s="12" t="s">
        <v>213</v>
      </c>
      <c r="B8" s="13">
        <f>IF(COUNTIF(CreditCard_Payments!H2:H2000,"Y")+COUNTIF(CreditCard_Payments!H2:H2000,"N")=0,0,COUNTIF(CreditCard_Payments!H2:H2000,"Y")/(COUNTIF(CreditCard_Payments!H2:H2000,"Y")+COUNTIF(CreditCard_Payments!H2:H2000,"N")))</f>
        <v>0.58333333333333337</v>
      </c>
      <c r="D8" s="16"/>
      <c r="E8" s="16"/>
    </row>
    <row r="9" spans="1:5" x14ac:dyDescent="0.3">
      <c r="A9" s="12" t="s">
        <v>214</v>
      </c>
      <c r="B9" s="5">
        <f>SUM(Collections!D2:D2000)</f>
        <v>9606.5499999999993</v>
      </c>
    </row>
    <row r="10" spans="1:5" x14ac:dyDescent="0.3">
      <c r="A10" s="12" t="s">
        <v>215</v>
      </c>
      <c r="B10" s="14">
        <f ca="1">COUNTIF(Vendor_Maintenance!G2:G2000,"&lt;"&amp;TODAY()-90)</f>
        <v>6</v>
      </c>
    </row>
  </sheetData>
  <mergeCells count="2">
    <mergeCell ref="A1:E1"/>
    <mergeCell ref="D3:E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3898657F625D4D9C96B348CD63880A" ma:contentTypeVersion="32" ma:contentTypeDescription="Create a new document." ma:contentTypeScope="" ma:versionID="8b0e7c0b6d213b4c4d2265d3768b9fd8">
  <xsd:schema xmlns:xsd="http://www.w3.org/2001/XMLSchema" xmlns:xs="http://www.w3.org/2001/XMLSchema" xmlns:p="http://schemas.microsoft.com/office/2006/metadata/properties" xmlns:ns3="4e2dfc4d-5751-4bd8-9754-ff21f30cc663" targetNamespace="http://schemas.microsoft.com/office/2006/metadata/properties" ma:root="true" ma:fieldsID="bab139f35c88f49b78b69bce105300e7" ns3:_="">
    <xsd:import namespace="4e2dfc4d-5751-4bd8-9754-ff21f30cc6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2dfc4d-5751-4bd8-9754-ff21f30cc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19" nillable="true" ma:displayName="Notebook Type" ma:internalName="NotebookType">
      <xsd:simpleType>
        <xsd:restriction base="dms:Text"/>
      </xsd:simpleType>
    </xsd:element>
    <xsd:element name="FolderType" ma:index="20" nillable="true" ma:displayName="Folder Type" ma:internalName="FolderType">
      <xsd:simpleType>
        <xsd:restriction base="dms:Text"/>
      </xsd:simpleType>
    </xsd:element>
    <xsd:element name="CultureName" ma:index="21" nillable="true" ma:displayName="Culture Name" ma:internalName="CultureName">
      <xsd:simpleType>
        <xsd:restriction base="dms:Text"/>
      </xsd:simpleType>
    </xsd:element>
    <xsd:element name="AppVersion" ma:index="22" nillable="true" ma:displayName="App Version" ma:internalName="AppVersion">
      <xsd:simpleType>
        <xsd:restriction base="dms:Text"/>
      </xsd:simpleType>
    </xsd:element>
    <xsd:element name="TeamsChannelId" ma:index="23" nillable="true" ma:displayName="Teams Channel Id" ma:internalName="TeamsChannelId">
      <xsd:simpleType>
        <xsd:restriction base="dms:Text"/>
      </xsd:simpleType>
    </xsd:element>
    <xsd:element name="Owner" ma:index="24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5" nillable="true" ma:displayName="Math Settings" ma:internalName="Math_Settings">
      <xsd:simpleType>
        <xsd:restriction base="dms:Text"/>
      </xsd:simpleType>
    </xsd:element>
    <xsd:element name="DefaultSectionNames" ma:index="26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7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8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9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0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1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2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3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4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5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6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7" nillable="true" ma:displayName="Is Collaboration Space Locked" ma:internalName="Is_Collaboration_Space_Locked">
      <xsd:simpleType>
        <xsd:restriction base="dms:Boolean"/>
      </xsd:simpleType>
    </xsd:element>
    <xsd:element name="IsNotebookLocked" ma:index="38" nillable="true" ma:displayName="Is Notebook Locked" ma:internalName="IsNotebookLocked">
      <xsd:simpleType>
        <xsd:restriction base="dms:Boolean"/>
      </xsd:simpleType>
    </xsd:element>
    <xsd:element name="Teams_Channel_Section_Location" ma:index="39" nillable="true" ma:displayName="Teams Channel Section Location" ma:internalName="Teams_Channel_Section_Loca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s xmlns="4e2dfc4d-5751-4bd8-9754-ff21f30cc663" xsi:nil="true"/>
    <NotebookType xmlns="4e2dfc4d-5751-4bd8-9754-ff21f30cc663" xsi:nil="true"/>
    <FolderType xmlns="4e2dfc4d-5751-4bd8-9754-ff21f30cc663" xsi:nil="true"/>
    <Invited_Teachers xmlns="4e2dfc4d-5751-4bd8-9754-ff21f30cc663" xsi:nil="true"/>
    <CultureName xmlns="4e2dfc4d-5751-4bd8-9754-ff21f30cc663" xsi:nil="true"/>
    <Invited_Students xmlns="4e2dfc4d-5751-4bd8-9754-ff21f30cc663" xsi:nil="true"/>
    <Is_Collaboration_Space_Locked xmlns="4e2dfc4d-5751-4bd8-9754-ff21f30cc663" xsi:nil="true"/>
    <Teams_Channel_Section_Location xmlns="4e2dfc4d-5751-4bd8-9754-ff21f30cc663" xsi:nil="true"/>
    <Self_Registration_Enabled xmlns="4e2dfc4d-5751-4bd8-9754-ff21f30cc663" xsi:nil="true"/>
    <Teachers xmlns="4e2dfc4d-5751-4bd8-9754-ff21f30cc663">
      <UserInfo>
        <DisplayName/>
        <AccountId xsi:nil="true"/>
        <AccountType/>
      </UserInfo>
    </Teachers>
    <Distribution_Groups xmlns="4e2dfc4d-5751-4bd8-9754-ff21f30cc663" xsi:nil="true"/>
    <LMS_Mappings xmlns="4e2dfc4d-5751-4bd8-9754-ff21f30cc663" xsi:nil="true"/>
    <IsNotebookLocked xmlns="4e2dfc4d-5751-4bd8-9754-ff21f30cc663" xsi:nil="true"/>
    <_activity xmlns="4e2dfc4d-5751-4bd8-9754-ff21f30cc663" xsi:nil="true"/>
    <Math_Settings xmlns="4e2dfc4d-5751-4bd8-9754-ff21f30cc663" xsi:nil="true"/>
    <Students xmlns="4e2dfc4d-5751-4bd8-9754-ff21f30cc663">
      <UserInfo>
        <DisplayName/>
        <AccountId xsi:nil="true"/>
        <AccountType/>
      </UserInfo>
    </Students>
    <Student_Groups xmlns="4e2dfc4d-5751-4bd8-9754-ff21f30cc663">
      <UserInfo>
        <DisplayName/>
        <AccountId xsi:nil="true"/>
        <AccountType/>
      </UserInfo>
    </Student_Groups>
    <AppVersion xmlns="4e2dfc4d-5751-4bd8-9754-ff21f30cc663" xsi:nil="true"/>
    <TeamsChannelId xmlns="4e2dfc4d-5751-4bd8-9754-ff21f30cc663" xsi:nil="true"/>
    <DefaultSectionNames xmlns="4e2dfc4d-5751-4bd8-9754-ff21f30cc663" xsi:nil="true"/>
    <Has_Teacher_Only_SectionGroup xmlns="4e2dfc4d-5751-4bd8-9754-ff21f30cc663" xsi:nil="true"/>
    <Owner xmlns="4e2dfc4d-5751-4bd8-9754-ff21f30cc663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3D7F299A-156B-41C3-8807-134666549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2dfc4d-5751-4bd8-9754-ff21f30cc6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6DC721-A95D-4885-9132-69AFC6C00B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7DF7EE-96E0-42A3-9B26-3FD361193C42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4e2dfc4d-5751-4bd8-9754-ff21f30cc663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Bank_Deposits</vt:lpstr>
      <vt:lpstr>Direct_Deposits</vt:lpstr>
      <vt:lpstr>CreditCard_Payments</vt:lpstr>
      <vt:lpstr>Vendor_Maintenance</vt:lpstr>
      <vt:lpstr>Collections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Asare</dc:creator>
  <cp:lastModifiedBy>Chimuanya Eze</cp:lastModifiedBy>
  <cp:lastPrinted>2026-02-14T14:26:14Z</cp:lastPrinted>
  <dcterms:created xsi:type="dcterms:W3CDTF">2026-02-14T14:24:25Z</dcterms:created>
  <dcterms:modified xsi:type="dcterms:W3CDTF">2026-02-14T14:27:03Z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0x010100FD3898657F625D4D9C96B348CD63880A</vt:lpwstr>
  </property>
</Properties>
</file>