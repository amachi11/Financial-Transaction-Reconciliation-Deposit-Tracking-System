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8_{63847212-CED1-458E-ABDE-F10AC4DC0FF4}" xr6:coauthVersionLast="47" xr6:coauthVersionMax="47" xr10:uidLastSave="{00000000-0000-0000-0000-000000000000}"/>
  <bookViews>
    <workbookView xWindow="732" yWindow="732" windowWidth="16116" windowHeight="11460" firstSheet="1" activeTab="1" xr2:uid="{00000000-000D-0000-FFFF-FFFF00000000}"/>
  </bookViews>
  <sheets>
    <sheet name="Pivot_Summaries" sheetId="1" r:id="rId1"/>
    <sheet name="Bank_Deposits" sheetId="2" r:id="rId2"/>
    <sheet name="Direct_Deposits" sheetId="3" r:id="rId3"/>
    <sheet name="CreditCard_Payments" sheetId="4" r:id="rId4"/>
    <sheet name="Vendor_Maintenance" sheetId="5" r:id="rId5"/>
    <sheet name="Collections" sheetId="6" r:id="rId6"/>
    <sheet name="Dashboard" sheetId="7" r:id="rId7"/>
    <sheet name="Macros_Optional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B10" i="7"/>
  <c r="B9" i="7"/>
  <c r="B7" i="7"/>
  <c r="B6" i="7"/>
  <c r="B5" i="7"/>
  <c r="B3" i="7"/>
  <c r="E14" i="6"/>
  <c r="F14" i="6" s="1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E7" i="6"/>
  <c r="F7" i="6" s="1"/>
  <c r="E6" i="6"/>
  <c r="F6" i="6" s="1"/>
  <c r="E5" i="6"/>
  <c r="F5" i="6" s="1"/>
  <c r="E4" i="6"/>
  <c r="F4" i="6" s="1"/>
  <c r="E3" i="6"/>
  <c r="F3" i="6" s="1"/>
  <c r="E2" i="6"/>
  <c r="F2" i="6" s="1"/>
  <c r="I13" i="4"/>
  <c r="H13" i="4"/>
  <c r="I12" i="4"/>
  <c r="H12" i="4"/>
  <c r="I11" i="4"/>
  <c r="H11" i="4"/>
  <c r="I10" i="4"/>
  <c r="H10" i="4" s="1"/>
  <c r="I9" i="4"/>
  <c r="H9" i="4" s="1"/>
  <c r="I8" i="4"/>
  <c r="H8" i="4"/>
  <c r="I7" i="4"/>
  <c r="H7" i="4"/>
  <c r="I6" i="4"/>
  <c r="H6" i="4"/>
  <c r="I5" i="4"/>
  <c r="H5" i="4"/>
  <c r="I4" i="4"/>
  <c r="B16" i="1" s="1"/>
  <c r="I3" i="4"/>
  <c r="H3" i="4" s="1"/>
  <c r="I2" i="4"/>
  <c r="H2" i="4"/>
  <c r="H11" i="3"/>
  <c r="H10" i="3"/>
  <c r="H9" i="3"/>
  <c r="H8" i="3"/>
  <c r="H7" i="3"/>
  <c r="H6" i="3"/>
  <c r="H5" i="3"/>
  <c r="H4" i="3"/>
  <c r="H3" i="3"/>
  <c r="H2" i="3"/>
  <c r="G11" i="2"/>
  <c r="F11" i="2"/>
  <c r="G10" i="2"/>
  <c r="F10" i="2"/>
  <c r="G9" i="2"/>
  <c r="F9" i="2"/>
  <c r="G8" i="2"/>
  <c r="F8" i="2"/>
  <c r="G7" i="2"/>
  <c r="F7" i="2" s="1"/>
  <c r="G6" i="2"/>
  <c r="F6" i="2" s="1"/>
  <c r="G5" i="2"/>
  <c r="F5" i="2"/>
  <c r="G4" i="2"/>
  <c r="F4" i="2"/>
  <c r="G3" i="2"/>
  <c r="F3" i="2"/>
  <c r="G2" i="2"/>
  <c r="F2" i="2" s="1"/>
  <c r="B14" i="1"/>
  <c r="B13" i="1"/>
  <c r="C21" i="1" l="1"/>
  <c r="B21" i="1"/>
  <c r="C24" i="1"/>
  <c r="B24" i="1"/>
  <c r="C23" i="1"/>
  <c r="B23" i="1"/>
  <c r="C22" i="1"/>
  <c r="B22" i="1"/>
  <c r="J3" i="2"/>
  <c r="B4" i="7" s="1"/>
  <c r="C8" i="1"/>
  <c r="B6" i="1"/>
  <c r="B8" i="1"/>
  <c r="C7" i="1"/>
  <c r="B7" i="1"/>
  <c r="C6" i="1"/>
  <c r="H4" i="4"/>
  <c r="B8" i="7" s="1"/>
  <c r="B15" i="1"/>
</calcChain>
</file>

<file path=xl/sharedStrings.xml><?xml version="1.0" encoding="utf-8"?>
<sst xmlns="http://schemas.openxmlformats.org/spreadsheetml/2006/main" count="310" uniqueCount="240">
  <si>
    <t>Pivot-Style Summaries (Formula-Based)</t>
  </si>
  <si>
    <t>Bank Deposits by Reconciled Status</t>
  </si>
  <si>
    <t>Status</t>
  </si>
  <si>
    <t>Count</t>
  </si>
  <si>
    <t>Total Amount</t>
  </si>
  <si>
    <t>Yes</t>
  </si>
  <si>
    <t>No</t>
  </si>
  <si>
    <t>Investigate</t>
  </si>
  <si>
    <t>Credit Card Payments: Variance Summary</t>
  </si>
  <si>
    <t>Metric</t>
  </si>
  <si>
    <t>Value</t>
  </si>
  <si>
    <t>Total Payments</t>
  </si>
  <si>
    <t>Matched (Variance=0)</t>
  </si>
  <si>
    <t>Exceptions (Variance≠0)</t>
  </si>
  <si>
    <t>Total Variance</t>
  </si>
  <si>
    <t>Collections Aging Buckets</t>
  </si>
  <si>
    <t>Aging Bucket</t>
  </si>
  <si>
    <t>Total Owing</t>
  </si>
  <si>
    <t>0–30</t>
  </si>
  <si>
    <t>31–60</t>
  </si>
  <si>
    <t>61–90</t>
  </si>
  <si>
    <t>90+</t>
  </si>
  <si>
    <t>Date</t>
  </si>
  <si>
    <t>Deposit ID</t>
  </si>
  <si>
    <t>Amount</t>
  </si>
  <si>
    <t>Source</t>
  </si>
  <si>
    <t>Bank Statement Amount</t>
  </si>
  <si>
    <t>Reconciled?</t>
  </si>
  <si>
    <t>Variance</t>
  </si>
  <si>
    <t>KPIs</t>
  </si>
  <si>
    <t>BD-20260204-01</t>
  </si>
  <si>
    <t>Other Receipts</t>
  </si>
  <si>
    <t>Total Deposits</t>
  </si>
  <si>
    <t>BD-20260205-02</t>
  </si>
  <si>
    <t>Employer Premiums</t>
  </si>
  <si>
    <t>Reconciled %</t>
  </si>
  <si>
    <t>BD-20260206-03</t>
  </si>
  <si>
    <t>BD-20260207-04</t>
  </si>
  <si>
    <t>Investment Income</t>
  </si>
  <si>
    <t>BD-20260208-05</t>
  </si>
  <si>
    <t>BD-20260209-06</t>
  </si>
  <si>
    <t>BD-20260210-07</t>
  </si>
  <si>
    <t>BD-20260211-08</t>
  </si>
  <si>
    <t>BD-20260212-09</t>
  </si>
  <si>
    <t>BD-20260213-10</t>
  </si>
  <si>
    <t>Payee</t>
  </si>
  <si>
    <t>Payment Date</t>
  </si>
  <si>
    <t>Method</t>
  </si>
  <si>
    <t>Reference</t>
  </si>
  <si>
    <t>Cleared Date</t>
  </si>
  <si>
    <t>Days to Clear</t>
  </si>
  <si>
    <t>Vendor/Employee 1</t>
  </si>
  <si>
    <t>EFT</t>
  </si>
  <si>
    <t>DD-0001</t>
  </si>
  <si>
    <t>Cleared</t>
  </si>
  <si>
    <t>Vendor/Employee 2</t>
  </si>
  <si>
    <t>DD-0002</t>
  </si>
  <si>
    <t>Vendor/Employee 3</t>
  </si>
  <si>
    <t>Direct Deposit</t>
  </si>
  <si>
    <t>DD-0003</t>
  </si>
  <si>
    <t>Vendor/Employee 4</t>
  </si>
  <si>
    <t>DD-0004</t>
  </si>
  <si>
    <t>Vendor/Employee 5</t>
  </si>
  <si>
    <t>DD-0005</t>
  </si>
  <si>
    <t>Scheduled</t>
  </si>
  <si>
    <t>Vendor/Employee 6</t>
  </si>
  <si>
    <t>DD-0006</t>
  </si>
  <si>
    <t>Returned</t>
  </si>
  <si>
    <t>Vendor/Employee 7</t>
  </si>
  <si>
    <t>DD-0007</t>
  </si>
  <si>
    <t>Vendor/Employee 8</t>
  </si>
  <si>
    <t>DD-0008</t>
  </si>
  <si>
    <t>Vendor/Employee 9</t>
  </si>
  <si>
    <t>DD-0009</t>
  </si>
  <si>
    <t>Vendor/Employee 10</t>
  </si>
  <si>
    <t>DD-0010</t>
  </si>
  <si>
    <t>Transaction ID</t>
  </si>
  <si>
    <t>Payer</t>
  </si>
  <si>
    <t>Card Type</t>
  </si>
  <si>
    <t>Auth Code</t>
  </si>
  <si>
    <t>Processor Amount</t>
  </si>
  <si>
    <t>CC-20260212-001</t>
  </si>
  <si>
    <t>Client 34</t>
  </si>
  <si>
    <t>Mastercard</t>
  </si>
  <si>
    <t>854604</t>
  </si>
  <si>
    <t>CC-20260209-002</t>
  </si>
  <si>
    <t>Client 12</t>
  </si>
  <si>
    <t>722365</t>
  </si>
  <si>
    <t>CC-20260206-003</t>
  </si>
  <si>
    <t>Client 19</t>
  </si>
  <si>
    <t>Amex</t>
  </si>
  <si>
    <t>423777</t>
  </si>
  <si>
    <t>CC-20260120-004</t>
  </si>
  <si>
    <t>Client 20</t>
  </si>
  <si>
    <t>130957</t>
  </si>
  <si>
    <t>CC-20260214-005</t>
  </si>
  <si>
    <t>Client 30</t>
  </si>
  <si>
    <t>469713</t>
  </si>
  <si>
    <t>CC-20260212-006</t>
  </si>
  <si>
    <t>Client 3</t>
  </si>
  <si>
    <t>Visa</t>
  </si>
  <si>
    <t>363639</t>
  </si>
  <si>
    <t>CC-20260129-007</t>
  </si>
  <si>
    <t>Client 35</t>
  </si>
  <si>
    <t>586004</t>
  </si>
  <si>
    <t>CC-20260126-008</t>
  </si>
  <si>
    <t>Client 7</t>
  </si>
  <si>
    <t>596689</t>
  </si>
  <si>
    <t>CC-20260214-009</t>
  </si>
  <si>
    <t>Client 2</t>
  </si>
  <si>
    <t>979499</t>
  </si>
  <si>
    <t>CC-20260202-010</t>
  </si>
  <si>
    <t>Client 8</t>
  </si>
  <si>
    <t>223387</t>
  </si>
  <si>
    <t>CC-20260202-011</t>
  </si>
  <si>
    <t>Client 36</t>
  </si>
  <si>
    <t>660163</t>
  </si>
  <si>
    <t>CC-20260213-012</t>
  </si>
  <si>
    <t>712098</t>
  </si>
  <si>
    <t>Vendor ID</t>
  </si>
  <si>
    <t>Vendor Name</t>
  </si>
  <si>
    <t>Email</t>
  </si>
  <si>
    <t>Phone</t>
  </si>
  <si>
    <t>Payment Method</t>
  </si>
  <si>
    <t>Banking on File?</t>
  </si>
  <si>
    <t>Last Verified</t>
  </si>
  <si>
    <t>Notes</t>
  </si>
  <si>
    <t>V-0001</t>
  </si>
  <si>
    <t>Vendor 1 Ltd.</t>
  </si>
  <si>
    <t>vendor1@example.com</t>
  </si>
  <si>
    <t>(902) 555-1001</t>
  </si>
  <si>
    <t>V-0002</t>
  </si>
  <si>
    <t>Vendor 2 Ltd.</t>
  </si>
  <si>
    <t>vendor2@example.com</t>
  </si>
  <si>
    <t>(902) 555-1002</t>
  </si>
  <si>
    <t>V-0003</t>
  </si>
  <si>
    <t>Vendor 3 Ltd.</t>
  </si>
  <si>
    <t>vendor3@example.com</t>
  </si>
  <si>
    <t>(902) 555-1003</t>
  </si>
  <si>
    <t>Wire</t>
  </si>
  <si>
    <t>V-0004</t>
  </si>
  <si>
    <t>Vendor 4 Ltd.</t>
  </si>
  <si>
    <t>vendor4@example.com</t>
  </si>
  <si>
    <t>(902) 555-1004</t>
  </si>
  <si>
    <t>V-0005</t>
  </si>
  <si>
    <t>Vendor 5 Ltd.</t>
  </si>
  <si>
    <t>vendor5@example.com</t>
  </si>
  <si>
    <t>(902) 555-1005</t>
  </si>
  <si>
    <t>V-0006</t>
  </si>
  <si>
    <t>Vendor 6 Ltd.</t>
  </si>
  <si>
    <t>vendor6@example.com</t>
  </si>
  <si>
    <t>(902) 555-1006</t>
  </si>
  <si>
    <t>V-0007</t>
  </si>
  <si>
    <t>Vendor 7 Ltd.</t>
  </si>
  <si>
    <t>vendor7@example.com</t>
  </si>
  <si>
    <t>(902) 555-1007</t>
  </si>
  <si>
    <t>V-0008</t>
  </si>
  <si>
    <t>Vendor 8 Ltd.</t>
  </si>
  <si>
    <t>vendor8@example.com</t>
  </si>
  <si>
    <t>(902) 555-1008</t>
  </si>
  <si>
    <t>V-0009</t>
  </si>
  <si>
    <t>Vendor 9 Ltd.</t>
  </si>
  <si>
    <t>vendor9@example.com</t>
  </si>
  <si>
    <t>(902) 555-1009</t>
  </si>
  <si>
    <t>V-0010</t>
  </si>
  <si>
    <t>Vendor 10 Ltd.</t>
  </si>
  <si>
    <t>vendor10@example.com</t>
  </si>
  <si>
    <t>(902) 555-1010</t>
  </si>
  <si>
    <t>V-0011</t>
  </si>
  <si>
    <t>Vendor 11 Ltd.</t>
  </si>
  <si>
    <t>vendor11@example.com</t>
  </si>
  <si>
    <t>(902) 555-1011</t>
  </si>
  <si>
    <t>V-0012</t>
  </si>
  <si>
    <t>Vendor 12 Ltd.</t>
  </si>
  <si>
    <t>vendor12@example.com</t>
  </si>
  <si>
    <t>(902) 555-1012</t>
  </si>
  <si>
    <t>Cheque</t>
  </si>
  <si>
    <t>V-0013</t>
  </si>
  <si>
    <t>Vendor 13 Ltd.</t>
  </si>
  <si>
    <t>vendor13@example.com</t>
  </si>
  <si>
    <t>(902) 555-1013</t>
  </si>
  <si>
    <t>V-0014</t>
  </si>
  <si>
    <t>Vendor 14 Ltd.</t>
  </si>
  <si>
    <t>vendor14@example.com</t>
  </si>
  <si>
    <t>(902) 555-1014</t>
  </si>
  <si>
    <t>V-0015</t>
  </si>
  <si>
    <t>Vendor 15 Ltd.</t>
  </si>
  <si>
    <t>vendor15@example.com</t>
  </si>
  <si>
    <t>(902) 555-1015</t>
  </si>
  <si>
    <t>Account/Claim</t>
  </si>
  <si>
    <t>Invoice #</t>
  </si>
  <si>
    <t>Due Date</t>
  </si>
  <si>
    <t>Amount Owing</t>
  </si>
  <si>
    <t>Days Outstanding</t>
  </si>
  <si>
    <t>Letter Sent?</t>
  </si>
  <si>
    <t>Last Contact Date</t>
  </si>
  <si>
    <t>Account 001</t>
  </si>
  <si>
    <t>INV-2026001</t>
  </si>
  <si>
    <t>Account 002</t>
  </si>
  <si>
    <t>INV-2026002</t>
  </si>
  <si>
    <t>Account 003</t>
  </si>
  <si>
    <t>INV-2026003</t>
  </si>
  <si>
    <t>Account 004</t>
  </si>
  <si>
    <t>INV-2026004</t>
  </si>
  <si>
    <t>Account 005</t>
  </si>
  <si>
    <t>INV-2026005</t>
  </si>
  <si>
    <t>Account 006</t>
  </si>
  <si>
    <t>INV-2026006</t>
  </si>
  <si>
    <t>Account 007</t>
  </si>
  <si>
    <t>INV-2026007</t>
  </si>
  <si>
    <t>Account 008</t>
  </si>
  <si>
    <t>INV-2026008</t>
  </si>
  <si>
    <t>Account 009</t>
  </si>
  <si>
    <t>INV-2026009</t>
  </si>
  <si>
    <t>Account 010</t>
  </si>
  <si>
    <t>INV-2026010</t>
  </si>
  <si>
    <t>Account 011</t>
  </si>
  <si>
    <t>INV-2026011</t>
  </si>
  <si>
    <t>Account 012</t>
  </si>
  <si>
    <t>INV-2026012</t>
  </si>
  <si>
    <t>Account 013</t>
  </si>
  <si>
    <t>INV-2026013</t>
  </si>
  <si>
    <t>Financial Transaction Reconciliation &amp; Deposit Tracking System</t>
  </si>
  <si>
    <t>KPI</t>
  </si>
  <si>
    <t>How to use</t>
  </si>
  <si>
    <t>Total Bank Deposits</t>
  </si>
  <si>
    <t>1) Enter new transactions in each sheet.
2) Reconciled? auto-calculates from variance.
3) Yellow = needs review; Red = high risk/overdue.
4) Dashboard updates KPIs automatically.</t>
  </si>
  <si>
    <t>Bank Deposits Reconciled %</t>
  </si>
  <si>
    <t>Total Direct Deposits</t>
  </si>
  <si>
    <t>Direct Deposits Cleared %</t>
  </si>
  <si>
    <t>Total Credit Card Payments</t>
  </si>
  <si>
    <t>Credit Card Reconciled %</t>
  </si>
  <si>
    <t>Open Collections Balance</t>
  </si>
  <si>
    <t>Vendors Needing Review (&gt;90d)</t>
  </si>
  <si>
    <t>Optional VBA Macros (Copy into Excel -&gt; Developer -&gt; Visual Basic -&gt; Insert Module)</t>
  </si>
  <si>
    <t>Macro 1: Clear Input Rows (keeps headers)</t>
  </si>
  <si>
    <t xml:space="preserve">Sub ClearTransactionInputs()
    'Clears all rows below headers for key sheets (adjust ranges if needed)
    Dim ws As Worksheet
    Dim sheets As Variant
    sheets = Array("Bank_Deposits", "Direct_Deposits", "CreditCard_Payments", "Collections")
    For Each s In sheets
        Set ws = ThisWorkbook.Worksheets(CStr(s))
        ws.Rows("2:" &amp; ws.Rows.Count).ClearContents
    Next s
    MsgBox "Transaction inputs cleared.", vbInformation
End Sub
</t>
  </si>
  <si>
    <t>Macro 2: Refresh All (if you add PivotTables in Excel)</t>
  </si>
  <si>
    <t xml:space="preserve">Sub RefreshAllData()
    ThisWorkbook.RefreshAll
    MsgBox "Refresh complete.", vbInformation
End Sub
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</si>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</sst>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yyyy\-mm\-dd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5"/>
      <color rgb="FFFFFFFF"/>
      <name val="Calibri"/>
    </font>
    <font>
      <sz val="11"/>
      <color rgb="FF404040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11A3A"/>
      </patternFill>
    </fill>
    <fill>
      <patternFill patternType="solid">
        <fgColor rgb="FF0B1437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2A2F45"/>
      </left>
      <right style="thin">
        <color rgb="FF2A2F45"/>
      </right>
      <top style="thin">
        <color rgb="FF2A2F45"/>
      </top>
      <bottom style="thin">
        <color rgb="FF2A2F4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8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8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0" fontId="1" fillId="5" borderId="7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7" fillId="0" borderId="0" xfId="0" applyFont="1"/>
    <xf numFmtId="0" fontId="6" fillId="6" borderId="0" xfId="0" applyFont="1" applyFill="1"/>
    <xf numFmtId="0" fontId="0" fillId="0" borderId="0" xfId="0"/>
    <xf numFmtId="0" fontId="5" fillId="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8"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nkDeposits" displayName="tblBankDeposits" ref="A1:I11">
  <autoFilter ref="A1:I11" xr:uid="{00000000-0009-0000-0100-000001000000}"/>
  <tableColumns count="9">
    <tableColumn id="1" xr3:uid="{00000000-0010-0000-0000-000001000000}" name="Date"/>
    <tableColumn id="2" xr3:uid="{00000000-0010-0000-0000-000002000000}" name="Deposit ID"/>
    <tableColumn id="3" xr3:uid="{00000000-0010-0000-0000-000003000000}" name="Amount"/>
    <tableColumn id="4" xr3:uid="{00000000-0010-0000-0000-000004000000}" name="Source"/>
    <tableColumn id="5" xr3:uid="{00000000-0010-0000-0000-000005000000}" name="Bank Statement Amount"/>
    <tableColumn id="6" xr3:uid="{00000000-0010-0000-0000-000006000000}" name="Reconciled?"/>
    <tableColumn id="7" xr3:uid="{00000000-0010-0000-0000-000007000000}" name="Variance"/>
    <tableColumn id="8" xr3:uid="{00000000-0010-0000-0000-000008000000}" name="Column1"/>
    <tableColumn id="9" xr3:uid="{00000000-0010-0000-0000-000009000000}" name="KPI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rectDeposits" displayName="tblDirectDeposits" ref="A1:H11">
  <autoFilter ref="A1:H11" xr:uid="{00000000-0009-0000-0100-000002000000}"/>
  <tableColumns count="8">
    <tableColumn id="1" xr3:uid="{00000000-0010-0000-0100-000001000000}" name="Payee"/>
    <tableColumn id="2" xr3:uid="{00000000-0010-0000-0100-000002000000}" name="Payment Date"/>
    <tableColumn id="3" xr3:uid="{00000000-0010-0000-0100-000003000000}" name="Amount"/>
    <tableColumn id="4" xr3:uid="{00000000-0010-0000-0100-000004000000}" name="Method"/>
    <tableColumn id="5" xr3:uid="{00000000-0010-0000-0100-000005000000}" name="Reference"/>
    <tableColumn id="6" xr3:uid="{00000000-0010-0000-0100-000006000000}" name="Status"/>
    <tableColumn id="7" xr3:uid="{00000000-0010-0000-0100-000007000000}" name="Cleared Date"/>
    <tableColumn id="8" xr3:uid="{00000000-0010-0000-0100-000008000000}" name="Days to Clea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ardPayments" displayName="tblCardPayments" ref="A1:I13">
  <autoFilter ref="A1:I13" xr:uid="{00000000-0009-0000-0100-000003000000}"/>
  <tableColumns count="9">
    <tableColumn id="1" xr3:uid="{00000000-0010-0000-0200-000001000000}" name="Date"/>
    <tableColumn id="2" xr3:uid="{00000000-0010-0000-0200-000002000000}" name="Transaction ID"/>
    <tableColumn id="3" xr3:uid="{00000000-0010-0000-0200-000003000000}" name="Payer"/>
    <tableColumn id="4" xr3:uid="{00000000-0010-0000-0200-000004000000}" name="Amount"/>
    <tableColumn id="5" xr3:uid="{00000000-0010-0000-0200-000005000000}" name="Card Type"/>
    <tableColumn id="6" xr3:uid="{00000000-0010-0000-0200-000006000000}" name="Auth Code"/>
    <tableColumn id="7" xr3:uid="{00000000-0010-0000-0200-000007000000}" name="Processor Amount"/>
    <tableColumn id="8" xr3:uid="{00000000-0010-0000-0200-000008000000}" name="Reconciled?"/>
    <tableColumn id="9" xr3:uid="{00000000-0010-0000-0200-000009000000}" name="Varian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Vendors" displayName="tblVendors" ref="A1:H16">
  <autoFilter ref="A1:H16" xr:uid="{00000000-0009-0000-0100-000004000000}"/>
  <tableColumns count="8">
    <tableColumn id="1" xr3:uid="{00000000-0010-0000-0300-000001000000}" name="Vendor ID"/>
    <tableColumn id="2" xr3:uid="{00000000-0010-0000-0300-000002000000}" name="Vendor Name"/>
    <tableColumn id="3" xr3:uid="{00000000-0010-0000-0300-000003000000}" name="Email"/>
    <tableColumn id="4" xr3:uid="{00000000-0010-0000-0300-000004000000}" name="Phone"/>
    <tableColumn id="5" xr3:uid="{00000000-0010-0000-0300-000005000000}" name="Payment Method"/>
    <tableColumn id="6" xr3:uid="{00000000-0010-0000-0300-000006000000}" name="Banking on File?"/>
    <tableColumn id="7" xr3:uid="{00000000-0010-0000-0300-000007000000}" name="Last Verified"/>
    <tableColumn id="8" xr3:uid="{00000000-0010-0000-0300-000008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llections" displayName="tblCollections" ref="A1:I14">
  <autoFilter ref="A1:I14" xr:uid="{00000000-0009-0000-0100-000005000000}"/>
  <tableColumns count="9">
    <tableColumn id="1" xr3:uid="{00000000-0010-0000-0400-000001000000}" name="Account/Claim"/>
    <tableColumn id="2" xr3:uid="{00000000-0010-0000-0400-000002000000}" name="Invoice #"/>
    <tableColumn id="3" xr3:uid="{00000000-0010-0000-0400-000003000000}" name="Due Date"/>
    <tableColumn id="4" xr3:uid="{00000000-0010-0000-0400-000004000000}" name="Amount Owing"/>
    <tableColumn id="5" xr3:uid="{00000000-0010-0000-0400-000005000000}" name="Days Outstanding"/>
    <tableColumn id="6" xr3:uid="{00000000-0010-0000-0400-000006000000}" name="Aging Bucket"/>
    <tableColumn id="7" xr3:uid="{00000000-0010-0000-0400-000007000000}" name="Letter Sent?"/>
    <tableColumn id="8" xr3:uid="{00000000-0010-0000-0400-000008000000}" name="Last Contact Date"/>
    <tableColumn id="9" xr3:uid="{00000000-0010-0000-0400-000009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pane ySplit="4" topLeftCell="A5" activePane="bottomLeft" state="frozen"/>
      <selection pane="bottomLeft" activeCell="B22" sqref="B22"/>
    </sheetView>
  </sheetViews>
  <sheetFormatPr defaultRowHeight="14.4" x14ac:dyDescent="0.3"/>
  <cols>
    <col min="1" max="3" width="22" customWidth="1"/>
    <col min="4" max="10" width="16" customWidth="1"/>
  </cols>
  <sheetData>
    <row r="1" spans="1:10" ht="28.05" customHeight="1" x14ac:dyDescent="0.3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15.6" x14ac:dyDescent="0.3">
      <c r="A3" s="19" t="s">
        <v>1</v>
      </c>
      <c r="B3" s="20"/>
      <c r="C3" s="20"/>
      <c r="D3" s="20"/>
      <c r="E3" s="20"/>
    </row>
    <row r="5" spans="1:10" x14ac:dyDescent="0.3">
      <c r="A5" s="15" t="s">
        <v>2</v>
      </c>
      <c r="B5" s="15" t="s">
        <v>3</v>
      </c>
      <c r="C5" s="15" t="s">
        <v>4</v>
      </c>
    </row>
    <row r="6" spans="1:10" x14ac:dyDescent="0.3">
      <c r="A6" s="16" t="s">
        <v>5</v>
      </c>
      <c r="B6" s="16">
        <f>COUNTIFS(tblBankDeposits[Reconciled?],"Yes")</f>
        <v>0</v>
      </c>
      <c r="C6" s="16">
        <f>SUMIFS(tblBankDeposits[Amount],tblBankDeposits[Reconciled?],"Yes")</f>
        <v>0</v>
      </c>
    </row>
    <row r="7" spans="1:10" x14ac:dyDescent="0.3">
      <c r="A7" s="16" t="s">
        <v>6</v>
      </c>
      <c r="B7" s="16">
        <f>COUNTIFS(tblBankDeposits[Reconciled?],"No")</f>
        <v>0</v>
      </c>
      <c r="C7" s="16">
        <f>SUMIFS(tblBankDeposits[Amount],tblBankDeposits[Reconciled?],"No")</f>
        <v>0</v>
      </c>
    </row>
    <row r="8" spans="1:10" x14ac:dyDescent="0.3">
      <c r="A8" s="16" t="s">
        <v>7</v>
      </c>
      <c r="B8" s="16">
        <f>COUNTIFS(tblBankDeposits[Reconciled?],"Investigate")</f>
        <v>0</v>
      </c>
      <c r="C8" s="16">
        <f>SUMIFS(tblBankDeposits[Amount],tblBankDeposits[Reconciled?],"Investigate")</f>
        <v>0</v>
      </c>
    </row>
    <row r="10" spans="1:10" ht="15.6" x14ac:dyDescent="0.3">
      <c r="A10" s="19" t="s">
        <v>8</v>
      </c>
      <c r="B10" s="20"/>
      <c r="C10" s="20"/>
      <c r="D10" s="20"/>
      <c r="E10" s="20"/>
      <c r="F10" s="20"/>
      <c r="G10" s="20"/>
    </row>
    <row r="12" spans="1:10" x14ac:dyDescent="0.3">
      <c r="A12" s="15" t="s">
        <v>9</v>
      </c>
      <c r="B12" s="15" t="s">
        <v>10</v>
      </c>
    </row>
    <row r="13" spans="1:10" x14ac:dyDescent="0.3">
      <c r="A13" s="17" t="s">
        <v>11</v>
      </c>
      <c r="B13" s="16">
        <f>COUNTA(tblCardPayments[Amount])</f>
        <v>12</v>
      </c>
    </row>
    <row r="14" spans="1:10" x14ac:dyDescent="0.3">
      <c r="A14" s="17" t="s">
        <v>12</v>
      </c>
      <c r="B14" s="16">
        <f>COUNTIF(tblCardPayments[Variance],0)</f>
        <v>7</v>
      </c>
    </row>
    <row r="15" spans="1:10" x14ac:dyDescent="0.3">
      <c r="A15" s="17" t="s">
        <v>13</v>
      </c>
      <c r="B15" s="16">
        <f>COUNTIF(tblCardPayments[Variance],"&lt;&gt;0")</f>
        <v>5</v>
      </c>
    </row>
    <row r="16" spans="1:10" x14ac:dyDescent="0.3">
      <c r="A16" s="17" t="s">
        <v>14</v>
      </c>
      <c r="B16" s="16">
        <f>SUM(tblCardPayments[Variance])</f>
        <v>-1.0799999999999912</v>
      </c>
    </row>
    <row r="18" spans="1:7" ht="15.6" x14ac:dyDescent="0.3">
      <c r="A18" s="19" t="s">
        <v>15</v>
      </c>
      <c r="B18" s="20"/>
      <c r="C18" s="20"/>
      <c r="D18" s="20"/>
      <c r="E18" s="20"/>
      <c r="F18" s="20"/>
      <c r="G18" s="20"/>
    </row>
    <row r="20" spans="1:7" x14ac:dyDescent="0.3">
      <c r="A20" s="15" t="s">
        <v>16</v>
      </c>
      <c r="B20" s="15" t="s">
        <v>3</v>
      </c>
      <c r="C20" s="15" t="s">
        <v>17</v>
      </c>
    </row>
    <row r="21" spans="1:7" x14ac:dyDescent="0.3">
      <c r="A21" s="16" t="s">
        <v>18</v>
      </c>
      <c r="B21" s="16">
        <f ca="1">COUNTIFS(tblCollections[Aging Bucket],"0–30")</f>
        <v>0</v>
      </c>
      <c r="C21" s="16">
        <f ca="1">SUMIFS(tblCollections[Amount Owing],tblCollections[Aging Bucket],"0–30")</f>
        <v>0</v>
      </c>
    </row>
    <row r="22" spans="1:7" x14ac:dyDescent="0.3">
      <c r="A22" s="16" t="s">
        <v>19</v>
      </c>
      <c r="B22" s="16">
        <f ca="1">COUNTIFS(tblCollections[Aging Bucket],"31–60")</f>
        <v>0</v>
      </c>
      <c r="C22" s="16">
        <f ca="1">SUMIFS(tblCollections[Amount Owing],tblCollections[Aging Bucket],"31–60")</f>
        <v>0</v>
      </c>
    </row>
    <row r="23" spans="1:7" x14ac:dyDescent="0.3">
      <c r="A23" s="16" t="s">
        <v>20</v>
      </c>
      <c r="B23" s="16">
        <f ca="1">COUNTIFS(tblCollections[Aging Bucket],"61–90")</f>
        <v>0</v>
      </c>
      <c r="C23" s="16">
        <f ca="1">SUMIFS(tblCollections[Amount Owing],tblCollections[Aging Bucket],"61–90")</f>
        <v>0</v>
      </c>
    </row>
    <row r="24" spans="1:7" x14ac:dyDescent="0.3">
      <c r="A24" s="16" t="s">
        <v>21</v>
      </c>
      <c r="B24" s="16">
        <f ca="1">COUNTIFS(tblCollections[Aging Bucket],"90+")</f>
        <v>4</v>
      </c>
      <c r="C24" s="16">
        <f ca="1">SUMIFS(tblCollections[Amount Owing],tblCollections[Aging Bucket],"90+")</f>
        <v>2829.2</v>
      </c>
    </row>
  </sheetData>
  <mergeCells count="4">
    <mergeCell ref="A18:G18"/>
    <mergeCell ref="A1:J1"/>
    <mergeCell ref="A10:G1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I7" sqref="I7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8" customWidth="1"/>
    <col min="5" max="5" width="20" customWidth="1"/>
    <col min="6" max="7" width="12" customWidth="1"/>
    <col min="10" max="10" width="10" bestFit="1" customWidth="1"/>
  </cols>
  <sheetData>
    <row r="1" spans="1:10" ht="22.05" customHeight="1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t="s">
        <v>239</v>
      </c>
      <c r="I1" s="2" t="s">
        <v>29</v>
      </c>
    </row>
    <row r="2" spans="1:10" ht="28.8" x14ac:dyDescent="0.3">
      <c r="A2" s="3">
        <v>46057</v>
      </c>
      <c r="B2" s="4" t="s">
        <v>30</v>
      </c>
      <c r="C2" s="5">
        <v>4211.16</v>
      </c>
      <c r="D2" s="6" t="s">
        <v>31</v>
      </c>
      <c r="E2" s="5">
        <v>4211.16</v>
      </c>
      <c r="F2" s="4" t="str">
        <f t="shared" ref="F2:F11" si="0">IF(ROUND(G2,2)=0,"Y","N")</f>
        <v>Y</v>
      </c>
      <c r="G2" s="5">
        <f t="shared" ref="G2:G11" si="1">E2-C2</f>
        <v>0</v>
      </c>
      <c r="I2" s="7" t="s">
        <v>32</v>
      </c>
      <c r="J2" s="8">
        <f>SUM(C2:C100)</f>
        <v>28130.449999999997</v>
      </c>
    </row>
    <row r="3" spans="1:10" ht="28.8" x14ac:dyDescent="0.3">
      <c r="A3" s="3">
        <v>46058</v>
      </c>
      <c r="B3" s="4" t="s">
        <v>33</v>
      </c>
      <c r="C3" s="5">
        <v>3987.3</v>
      </c>
      <c r="D3" s="6" t="s">
        <v>34</v>
      </c>
      <c r="E3" s="5">
        <v>3987.3</v>
      </c>
      <c r="F3" s="4" t="str">
        <f t="shared" si="0"/>
        <v>Y</v>
      </c>
      <c r="G3" s="5">
        <f t="shared" si="1"/>
        <v>0</v>
      </c>
      <c r="I3" s="7" t="s">
        <v>35</v>
      </c>
      <c r="J3" s="9">
        <f>IF(COUNTIF(F2:F1000,"Y")+COUNTIF(F2:F1000,"N")=0,0,COUNTIF(F2:F1000,"Y")/(COUNTIF(F2:F1000,"Y")+COUNTIF(F2:F1000,"N")))</f>
        <v>0.8</v>
      </c>
    </row>
    <row r="4" spans="1:10" ht="28.8" x14ac:dyDescent="0.3">
      <c r="A4" s="3">
        <v>46059</v>
      </c>
      <c r="B4" s="4" t="s">
        <v>36</v>
      </c>
      <c r="C4" s="5">
        <v>849.17</v>
      </c>
      <c r="D4" s="6" t="s">
        <v>31</v>
      </c>
      <c r="E4" s="5">
        <v>849.17</v>
      </c>
      <c r="F4" s="4" t="str">
        <f t="shared" si="0"/>
        <v>Y</v>
      </c>
      <c r="G4" s="5">
        <f t="shared" si="1"/>
        <v>0</v>
      </c>
    </row>
    <row r="5" spans="1:10" ht="28.8" x14ac:dyDescent="0.3">
      <c r="A5" s="3">
        <v>46060</v>
      </c>
      <c r="B5" s="4" t="s">
        <v>37</v>
      </c>
      <c r="C5" s="5">
        <v>3473.31</v>
      </c>
      <c r="D5" s="6" t="s">
        <v>38</v>
      </c>
      <c r="E5" s="5">
        <v>3473.31</v>
      </c>
      <c r="F5" s="4" t="str">
        <f t="shared" si="0"/>
        <v>Y</v>
      </c>
      <c r="G5" s="5">
        <f t="shared" si="1"/>
        <v>0</v>
      </c>
    </row>
    <row r="6" spans="1:10" ht="28.8" x14ac:dyDescent="0.3">
      <c r="A6" s="3">
        <v>46061</v>
      </c>
      <c r="B6" s="4" t="s">
        <v>39</v>
      </c>
      <c r="C6" s="5">
        <v>3746.91</v>
      </c>
      <c r="D6" s="6" t="s">
        <v>31</v>
      </c>
      <c r="E6" s="5">
        <v>3758.14</v>
      </c>
      <c r="F6" s="4" t="str">
        <f t="shared" si="0"/>
        <v>N</v>
      </c>
      <c r="G6" s="5">
        <f t="shared" si="1"/>
        <v>11.230000000000018</v>
      </c>
    </row>
    <row r="7" spans="1:10" ht="28.8" x14ac:dyDescent="0.3">
      <c r="A7" s="3">
        <v>46062</v>
      </c>
      <c r="B7" s="4" t="s">
        <v>40</v>
      </c>
      <c r="C7" s="5">
        <v>1171.2</v>
      </c>
      <c r="D7" s="6" t="s">
        <v>31</v>
      </c>
      <c r="E7" s="5">
        <v>1171.2</v>
      </c>
      <c r="F7" s="4" t="str">
        <f t="shared" si="0"/>
        <v>Y</v>
      </c>
      <c r="G7" s="5">
        <f t="shared" si="1"/>
        <v>0</v>
      </c>
    </row>
    <row r="8" spans="1:10" ht="28.8" x14ac:dyDescent="0.3">
      <c r="A8" s="3">
        <v>46063</v>
      </c>
      <c r="B8" s="4" t="s">
        <v>41</v>
      </c>
      <c r="C8" s="5">
        <v>1156.25</v>
      </c>
      <c r="D8" s="6" t="s">
        <v>31</v>
      </c>
      <c r="E8" s="5">
        <v>1156.25</v>
      </c>
      <c r="F8" s="4" t="str">
        <f t="shared" si="0"/>
        <v>Y</v>
      </c>
      <c r="G8" s="5">
        <f t="shared" si="1"/>
        <v>0</v>
      </c>
    </row>
    <row r="9" spans="1:10" ht="28.8" x14ac:dyDescent="0.3">
      <c r="A9" s="3">
        <v>46064</v>
      </c>
      <c r="B9" s="4" t="s">
        <v>42</v>
      </c>
      <c r="C9" s="5">
        <v>3148.1</v>
      </c>
      <c r="D9" s="6" t="s">
        <v>38</v>
      </c>
      <c r="E9" s="5">
        <v>3148.1</v>
      </c>
      <c r="F9" s="4" t="str">
        <f t="shared" si="0"/>
        <v>Y</v>
      </c>
      <c r="G9" s="5">
        <f t="shared" si="1"/>
        <v>0</v>
      </c>
    </row>
    <row r="10" spans="1:10" ht="28.8" x14ac:dyDescent="0.3">
      <c r="A10" s="3">
        <v>46065</v>
      </c>
      <c r="B10" s="4" t="s">
        <v>43</v>
      </c>
      <c r="C10" s="5">
        <v>3722.86</v>
      </c>
      <c r="D10" s="6" t="s">
        <v>34</v>
      </c>
      <c r="E10" s="5">
        <v>3722.86</v>
      </c>
      <c r="F10" s="4" t="str">
        <f t="shared" si="0"/>
        <v>Y</v>
      </c>
      <c r="G10" s="5">
        <f t="shared" si="1"/>
        <v>0</v>
      </c>
    </row>
    <row r="11" spans="1:10" ht="28.8" x14ac:dyDescent="0.3">
      <c r="A11" s="3">
        <v>46066</v>
      </c>
      <c r="B11" s="4" t="s">
        <v>44</v>
      </c>
      <c r="C11" s="5">
        <v>2664.19</v>
      </c>
      <c r="D11" s="6" t="s">
        <v>31</v>
      </c>
      <c r="E11" s="5">
        <v>2623.7</v>
      </c>
      <c r="F11" s="4" t="str">
        <f t="shared" si="0"/>
        <v>N</v>
      </c>
      <c r="G11" s="5">
        <f t="shared" si="1"/>
        <v>-40.490000000000236</v>
      </c>
    </row>
  </sheetData>
  <conditionalFormatting sqref="F2:F200">
    <cfRule type="cellIs" dxfId="7" priority="2" operator="equal">
      <formula>"N"</formula>
    </cfRule>
  </conditionalFormatting>
  <conditionalFormatting sqref="G2:G200">
    <cfRule type="cellIs" dxfId="6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H8" sqref="H8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4" width="14" customWidth="1"/>
    <col min="5" max="5" width="16" customWidth="1"/>
    <col min="6" max="6" width="12" customWidth="1"/>
    <col min="7" max="8" width="14" customWidth="1"/>
  </cols>
  <sheetData>
    <row r="1" spans="1:8" ht="22.05" customHeight="1" x14ac:dyDescent="0.3">
      <c r="A1" s="1" t="s">
        <v>45</v>
      </c>
      <c r="B1" s="1" t="s">
        <v>46</v>
      </c>
      <c r="C1" s="1" t="s">
        <v>24</v>
      </c>
      <c r="D1" s="1" t="s">
        <v>47</v>
      </c>
      <c r="E1" s="1" t="s">
        <v>48</v>
      </c>
      <c r="F1" s="1" t="s">
        <v>2</v>
      </c>
      <c r="G1" s="1" t="s">
        <v>49</v>
      </c>
      <c r="H1" s="1" t="s">
        <v>50</v>
      </c>
    </row>
    <row r="2" spans="1:8" x14ac:dyDescent="0.3">
      <c r="A2" s="4" t="s">
        <v>51</v>
      </c>
      <c r="B2" s="3">
        <v>46058</v>
      </c>
      <c r="C2" s="5">
        <v>1397.13</v>
      </c>
      <c r="D2" s="6" t="s">
        <v>52</v>
      </c>
      <c r="E2" s="6" t="s">
        <v>53</v>
      </c>
      <c r="F2" s="4" t="s">
        <v>54</v>
      </c>
      <c r="G2" s="10">
        <v>46061</v>
      </c>
      <c r="H2" s="6">
        <f t="shared" ref="H2:H11" si="0">IF(G2="","",G2-B2)</f>
        <v>3</v>
      </c>
    </row>
    <row r="3" spans="1:8" x14ac:dyDescent="0.3">
      <c r="A3" s="4" t="s">
        <v>55</v>
      </c>
      <c r="B3" s="3">
        <v>46052</v>
      </c>
      <c r="C3" s="5">
        <v>218.22</v>
      </c>
      <c r="D3" s="6" t="s">
        <v>52</v>
      </c>
      <c r="E3" s="6" t="s">
        <v>56</v>
      </c>
      <c r="F3" s="4" t="s">
        <v>54</v>
      </c>
      <c r="G3" s="10">
        <v>46054</v>
      </c>
      <c r="H3" s="6">
        <f t="shared" si="0"/>
        <v>2</v>
      </c>
    </row>
    <row r="4" spans="1:8" x14ac:dyDescent="0.3">
      <c r="A4" s="4" t="s">
        <v>57</v>
      </c>
      <c r="B4" s="3">
        <v>46062</v>
      </c>
      <c r="C4" s="5">
        <v>390.35</v>
      </c>
      <c r="D4" s="6" t="s">
        <v>58</v>
      </c>
      <c r="E4" s="6" t="s">
        <v>59</v>
      </c>
      <c r="F4" s="4" t="s">
        <v>54</v>
      </c>
      <c r="G4" s="10">
        <v>46066</v>
      </c>
      <c r="H4" s="6">
        <f t="shared" si="0"/>
        <v>4</v>
      </c>
    </row>
    <row r="5" spans="1:8" x14ac:dyDescent="0.3">
      <c r="A5" s="4" t="s">
        <v>60</v>
      </c>
      <c r="B5" s="3">
        <v>46064</v>
      </c>
      <c r="C5" s="5">
        <v>155.19</v>
      </c>
      <c r="D5" s="6" t="s">
        <v>58</v>
      </c>
      <c r="E5" s="6" t="s">
        <v>61</v>
      </c>
      <c r="F5" s="4" t="s">
        <v>54</v>
      </c>
      <c r="G5" s="10">
        <v>46068</v>
      </c>
      <c r="H5" s="6">
        <f t="shared" si="0"/>
        <v>4</v>
      </c>
    </row>
    <row r="6" spans="1:8" x14ac:dyDescent="0.3">
      <c r="A6" s="4" t="s">
        <v>62</v>
      </c>
      <c r="B6" s="3">
        <v>46058</v>
      </c>
      <c r="C6" s="5">
        <v>786.67</v>
      </c>
      <c r="D6" s="6" t="s">
        <v>52</v>
      </c>
      <c r="E6" s="6" t="s">
        <v>63</v>
      </c>
      <c r="F6" s="4" t="s">
        <v>64</v>
      </c>
      <c r="G6" s="10"/>
      <c r="H6" s="6" t="str">
        <f t="shared" si="0"/>
        <v/>
      </c>
    </row>
    <row r="7" spans="1:8" x14ac:dyDescent="0.3">
      <c r="A7" s="4" t="s">
        <v>65</v>
      </c>
      <c r="B7" s="3">
        <v>46051</v>
      </c>
      <c r="C7" s="5">
        <v>1034.5899999999999</v>
      </c>
      <c r="D7" s="6" t="s">
        <v>52</v>
      </c>
      <c r="E7" s="6" t="s">
        <v>66</v>
      </c>
      <c r="F7" s="4" t="s">
        <v>67</v>
      </c>
      <c r="G7" s="10"/>
      <c r="H7" s="6" t="str">
        <f t="shared" si="0"/>
        <v/>
      </c>
    </row>
    <row r="8" spans="1:8" x14ac:dyDescent="0.3">
      <c r="A8" s="4" t="s">
        <v>68</v>
      </c>
      <c r="B8" s="3">
        <v>46063</v>
      </c>
      <c r="C8" s="5">
        <v>1372.91</v>
      </c>
      <c r="D8" s="6" t="s">
        <v>52</v>
      </c>
      <c r="E8" s="6" t="s">
        <v>69</v>
      </c>
      <c r="F8" s="4" t="s">
        <v>54</v>
      </c>
      <c r="G8" s="10">
        <v>46063</v>
      </c>
      <c r="H8" s="6">
        <f t="shared" si="0"/>
        <v>0</v>
      </c>
    </row>
    <row r="9" spans="1:8" x14ac:dyDescent="0.3">
      <c r="A9" s="4" t="s">
        <v>70</v>
      </c>
      <c r="B9" s="3">
        <v>46065</v>
      </c>
      <c r="C9" s="5">
        <v>2426.6999999999998</v>
      </c>
      <c r="D9" s="6" t="s">
        <v>52</v>
      </c>
      <c r="E9" s="6" t="s">
        <v>71</v>
      </c>
      <c r="F9" s="4" t="s">
        <v>67</v>
      </c>
      <c r="G9" s="10"/>
      <c r="H9" s="6" t="str">
        <f t="shared" si="0"/>
        <v/>
      </c>
    </row>
    <row r="10" spans="1:8" x14ac:dyDescent="0.3">
      <c r="A10" s="4" t="s">
        <v>72</v>
      </c>
      <c r="B10" s="3">
        <v>46055</v>
      </c>
      <c r="C10" s="5">
        <v>108.61</v>
      </c>
      <c r="D10" s="6" t="s">
        <v>52</v>
      </c>
      <c r="E10" s="6" t="s">
        <v>73</v>
      </c>
      <c r="F10" s="4" t="s">
        <v>54</v>
      </c>
      <c r="G10" s="10">
        <v>46059</v>
      </c>
      <c r="H10" s="6">
        <f t="shared" si="0"/>
        <v>4</v>
      </c>
    </row>
    <row r="11" spans="1:8" x14ac:dyDescent="0.3">
      <c r="A11" s="4" t="s">
        <v>74</v>
      </c>
      <c r="B11" s="3">
        <v>46047</v>
      </c>
      <c r="C11" s="5">
        <v>2335.61</v>
      </c>
      <c r="D11" s="6" t="s">
        <v>58</v>
      </c>
      <c r="E11" s="6" t="s">
        <v>75</v>
      </c>
      <c r="F11" s="4" t="s">
        <v>67</v>
      </c>
      <c r="G11" s="10"/>
      <c r="H11" s="6" t="str">
        <f t="shared" si="0"/>
        <v/>
      </c>
    </row>
  </sheetData>
  <conditionalFormatting sqref="F2:F200">
    <cfRule type="cellIs" dxfId="5" priority="1" operator="equal">
      <formula>"Returned"</formula>
    </cfRule>
    <cfRule type="cellIs" dxfId="4" priority="2" operator="equal">
      <formula>"Scheduled"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I7" sqref="I7"/>
    </sheetView>
  </sheetViews>
  <sheetFormatPr defaultRowHeight="14.4" x14ac:dyDescent="0.3"/>
  <cols>
    <col min="1" max="1" width="12" customWidth="1"/>
    <col min="2" max="2" width="16" customWidth="1"/>
    <col min="3" max="3" width="20" customWidth="1"/>
    <col min="4" max="6" width="12" customWidth="1"/>
    <col min="7" max="7" width="18" customWidth="1"/>
    <col min="8" max="9" width="12" customWidth="1"/>
  </cols>
  <sheetData>
    <row r="1" spans="1:9" ht="22.05" customHeight="1" x14ac:dyDescent="0.3">
      <c r="A1" s="1" t="s">
        <v>22</v>
      </c>
      <c r="B1" s="1" t="s">
        <v>76</v>
      </c>
      <c r="C1" s="1" t="s">
        <v>77</v>
      </c>
      <c r="D1" s="1" t="s">
        <v>24</v>
      </c>
      <c r="E1" s="1" t="s">
        <v>78</v>
      </c>
      <c r="F1" s="1" t="s">
        <v>79</v>
      </c>
      <c r="G1" s="1" t="s">
        <v>80</v>
      </c>
      <c r="H1" s="1" t="s">
        <v>27</v>
      </c>
      <c r="I1" s="1" t="s">
        <v>28</v>
      </c>
    </row>
    <row r="2" spans="1:9" x14ac:dyDescent="0.3">
      <c r="A2" s="3">
        <v>46065</v>
      </c>
      <c r="B2" s="4" t="s">
        <v>81</v>
      </c>
      <c r="C2" s="6" t="s">
        <v>82</v>
      </c>
      <c r="D2" s="5">
        <v>27.35</v>
      </c>
      <c r="E2" s="6" t="s">
        <v>83</v>
      </c>
      <c r="F2" s="4" t="s">
        <v>84</v>
      </c>
      <c r="G2" s="5">
        <v>27.35</v>
      </c>
      <c r="H2" s="6" t="str">
        <f t="shared" ref="H2:H13" si="0">IF(ROUND(I2,2)=0,"Y","N")</f>
        <v>Y</v>
      </c>
      <c r="I2" s="5">
        <f t="shared" ref="I2:I13" si="1">G2-D2</f>
        <v>0</v>
      </c>
    </row>
    <row r="3" spans="1:9" x14ac:dyDescent="0.3">
      <c r="A3" s="3">
        <v>46062</v>
      </c>
      <c r="B3" s="4" t="s">
        <v>85</v>
      </c>
      <c r="C3" s="6" t="s">
        <v>86</v>
      </c>
      <c r="D3" s="5">
        <v>228.86</v>
      </c>
      <c r="E3" s="6" t="s">
        <v>83</v>
      </c>
      <c r="F3" s="4" t="s">
        <v>87</v>
      </c>
      <c r="G3" s="5">
        <v>228.86</v>
      </c>
      <c r="H3" s="6" t="str">
        <f t="shared" si="0"/>
        <v>Y</v>
      </c>
      <c r="I3" s="5">
        <f t="shared" si="1"/>
        <v>0</v>
      </c>
    </row>
    <row r="4" spans="1:9" x14ac:dyDescent="0.3">
      <c r="A4" s="3">
        <v>46059</v>
      </c>
      <c r="B4" s="4" t="s">
        <v>88</v>
      </c>
      <c r="C4" s="6" t="s">
        <v>89</v>
      </c>
      <c r="D4" s="5">
        <v>86.47</v>
      </c>
      <c r="E4" s="6" t="s">
        <v>90</v>
      </c>
      <c r="F4" s="4" t="s">
        <v>91</v>
      </c>
      <c r="G4" s="5">
        <v>86.47</v>
      </c>
      <c r="H4" s="6" t="str">
        <f t="shared" si="0"/>
        <v>Y</v>
      </c>
      <c r="I4" s="5">
        <f t="shared" si="1"/>
        <v>0</v>
      </c>
    </row>
    <row r="5" spans="1:9" x14ac:dyDescent="0.3">
      <c r="A5" s="3">
        <v>46042</v>
      </c>
      <c r="B5" s="4" t="s">
        <v>92</v>
      </c>
      <c r="C5" s="6" t="s">
        <v>93</v>
      </c>
      <c r="D5" s="5">
        <v>234.63</v>
      </c>
      <c r="E5" s="6" t="s">
        <v>90</v>
      </c>
      <c r="F5" s="4" t="s">
        <v>94</v>
      </c>
      <c r="G5" s="5">
        <v>230.95</v>
      </c>
      <c r="H5" s="6" t="str">
        <f t="shared" si="0"/>
        <v>N</v>
      </c>
      <c r="I5" s="5">
        <f t="shared" si="1"/>
        <v>-3.6800000000000068</v>
      </c>
    </row>
    <row r="6" spans="1:9" x14ac:dyDescent="0.3">
      <c r="A6" s="3">
        <v>46067</v>
      </c>
      <c r="B6" s="4" t="s">
        <v>95</v>
      </c>
      <c r="C6" s="6" t="s">
        <v>96</v>
      </c>
      <c r="D6" s="5">
        <v>189.67</v>
      </c>
      <c r="E6" s="6" t="s">
        <v>90</v>
      </c>
      <c r="F6" s="4" t="s">
        <v>97</v>
      </c>
      <c r="G6" s="5">
        <v>189.67</v>
      </c>
      <c r="H6" s="6" t="str">
        <f t="shared" si="0"/>
        <v>Y</v>
      </c>
      <c r="I6" s="5">
        <f t="shared" si="1"/>
        <v>0</v>
      </c>
    </row>
    <row r="7" spans="1:9" x14ac:dyDescent="0.3">
      <c r="A7" s="3">
        <v>46065</v>
      </c>
      <c r="B7" s="4" t="s">
        <v>98</v>
      </c>
      <c r="C7" s="6" t="s">
        <v>99</v>
      </c>
      <c r="D7" s="5">
        <v>17.760000000000002</v>
      </c>
      <c r="E7" s="6" t="s">
        <v>100</v>
      </c>
      <c r="F7" s="4" t="s">
        <v>101</v>
      </c>
      <c r="G7" s="5">
        <v>16.55</v>
      </c>
      <c r="H7" s="6" t="str">
        <f t="shared" si="0"/>
        <v>N</v>
      </c>
      <c r="I7" s="5">
        <f t="shared" si="1"/>
        <v>-1.2100000000000009</v>
      </c>
    </row>
    <row r="8" spans="1:9" x14ac:dyDescent="0.3">
      <c r="A8" s="3">
        <v>46051</v>
      </c>
      <c r="B8" s="4" t="s">
        <v>102</v>
      </c>
      <c r="C8" s="6" t="s">
        <v>103</v>
      </c>
      <c r="D8" s="5">
        <v>332.65</v>
      </c>
      <c r="E8" s="6" t="s">
        <v>100</v>
      </c>
      <c r="F8" s="4" t="s">
        <v>104</v>
      </c>
      <c r="G8" s="5">
        <v>336.46</v>
      </c>
      <c r="H8" s="6" t="str">
        <f t="shared" si="0"/>
        <v>N</v>
      </c>
      <c r="I8" s="5">
        <f t="shared" si="1"/>
        <v>3.8100000000000023</v>
      </c>
    </row>
    <row r="9" spans="1:9" x14ac:dyDescent="0.3">
      <c r="A9" s="3">
        <v>46048</v>
      </c>
      <c r="B9" s="4" t="s">
        <v>105</v>
      </c>
      <c r="C9" s="6" t="s">
        <v>106</v>
      </c>
      <c r="D9" s="5">
        <v>67.16</v>
      </c>
      <c r="E9" s="6" t="s">
        <v>83</v>
      </c>
      <c r="F9" s="4" t="s">
        <v>107</v>
      </c>
      <c r="G9" s="5">
        <v>67.16</v>
      </c>
      <c r="H9" s="6" t="str">
        <f t="shared" si="0"/>
        <v>Y</v>
      </c>
      <c r="I9" s="5">
        <f t="shared" si="1"/>
        <v>0</v>
      </c>
    </row>
    <row r="10" spans="1:9" x14ac:dyDescent="0.3">
      <c r="A10" s="3">
        <v>46067</v>
      </c>
      <c r="B10" s="4" t="s">
        <v>108</v>
      </c>
      <c r="C10" s="6" t="s">
        <v>109</v>
      </c>
      <c r="D10" s="5">
        <v>208.43</v>
      </c>
      <c r="E10" s="6" t="s">
        <v>83</v>
      </c>
      <c r="F10" s="4" t="s">
        <v>110</v>
      </c>
      <c r="G10" s="5">
        <v>208.43</v>
      </c>
      <c r="H10" s="6" t="str">
        <f t="shared" si="0"/>
        <v>Y</v>
      </c>
      <c r="I10" s="5">
        <f t="shared" si="1"/>
        <v>0</v>
      </c>
    </row>
    <row r="11" spans="1:9" x14ac:dyDescent="0.3">
      <c r="A11" s="3">
        <v>46055</v>
      </c>
      <c r="B11" s="4" t="s">
        <v>111</v>
      </c>
      <c r="C11" s="6" t="s">
        <v>112</v>
      </c>
      <c r="D11" s="5">
        <v>245.71</v>
      </c>
      <c r="E11" s="6" t="s">
        <v>90</v>
      </c>
      <c r="F11" s="4" t="s">
        <v>113</v>
      </c>
      <c r="G11" s="5">
        <v>245.71</v>
      </c>
      <c r="H11" s="6" t="str">
        <f t="shared" si="0"/>
        <v>Y</v>
      </c>
      <c r="I11" s="5">
        <f t="shared" si="1"/>
        <v>0</v>
      </c>
    </row>
    <row r="12" spans="1:9" x14ac:dyDescent="0.3">
      <c r="A12" s="3">
        <v>46055</v>
      </c>
      <c r="B12" s="4" t="s">
        <v>114</v>
      </c>
      <c r="C12" s="6" t="s">
        <v>115</v>
      </c>
      <c r="D12" s="5">
        <v>47.57</v>
      </c>
      <c r="E12" s="6" t="s">
        <v>83</v>
      </c>
      <c r="F12" s="4" t="s">
        <v>116</v>
      </c>
      <c r="G12" s="5">
        <v>48.46</v>
      </c>
      <c r="H12" s="6" t="str">
        <f t="shared" si="0"/>
        <v>N</v>
      </c>
      <c r="I12" s="5">
        <f t="shared" si="1"/>
        <v>0.89000000000000057</v>
      </c>
    </row>
    <row r="13" spans="1:9" x14ac:dyDescent="0.3">
      <c r="A13" s="3">
        <v>46066</v>
      </c>
      <c r="B13" s="4" t="s">
        <v>117</v>
      </c>
      <c r="C13" s="6" t="s">
        <v>82</v>
      </c>
      <c r="D13" s="5">
        <v>286.37</v>
      </c>
      <c r="E13" s="6" t="s">
        <v>90</v>
      </c>
      <c r="F13" s="4" t="s">
        <v>118</v>
      </c>
      <c r="G13" s="5">
        <v>285.48</v>
      </c>
      <c r="H13" s="6" t="str">
        <f t="shared" si="0"/>
        <v>N</v>
      </c>
      <c r="I13" s="5">
        <f t="shared" si="1"/>
        <v>-0.88999999999998636</v>
      </c>
    </row>
  </sheetData>
  <conditionalFormatting sqref="I2:I500">
    <cfRule type="cellIs" dxfId="3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G8" sqref="G8"/>
    </sheetView>
  </sheetViews>
  <sheetFormatPr defaultRowHeight="14.4" x14ac:dyDescent="0.3"/>
  <cols>
    <col min="1" max="1" width="12" customWidth="1"/>
    <col min="2" max="2" width="24" customWidth="1"/>
    <col min="3" max="3" width="26" customWidth="1"/>
    <col min="4" max="6" width="16" customWidth="1"/>
    <col min="7" max="7" width="14" customWidth="1"/>
    <col min="8" max="8" width="26" customWidth="1"/>
  </cols>
  <sheetData>
    <row r="1" spans="1:8" ht="22.05" customHeight="1" x14ac:dyDescent="0.3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</row>
    <row r="2" spans="1:8" x14ac:dyDescent="0.3">
      <c r="A2" s="4" t="s">
        <v>127</v>
      </c>
      <c r="B2" s="4" t="s">
        <v>128</v>
      </c>
      <c r="C2" s="6" t="s">
        <v>129</v>
      </c>
      <c r="D2" s="6" t="s">
        <v>130</v>
      </c>
      <c r="E2" s="6" t="s">
        <v>52</v>
      </c>
      <c r="F2" s="4" t="s">
        <v>5</v>
      </c>
      <c r="G2" s="10">
        <v>45889</v>
      </c>
      <c r="H2" s="6"/>
    </row>
    <row r="3" spans="1:8" x14ac:dyDescent="0.3">
      <c r="A3" s="4" t="s">
        <v>131</v>
      </c>
      <c r="B3" s="4" t="s">
        <v>132</v>
      </c>
      <c r="C3" s="6" t="s">
        <v>133</v>
      </c>
      <c r="D3" s="6" t="s">
        <v>134</v>
      </c>
      <c r="E3" s="6" t="s">
        <v>52</v>
      </c>
      <c r="F3" s="4" t="s">
        <v>5</v>
      </c>
      <c r="G3" s="10">
        <v>46052</v>
      </c>
      <c r="H3" s="6"/>
    </row>
    <row r="4" spans="1:8" x14ac:dyDescent="0.3">
      <c r="A4" s="4" t="s">
        <v>135</v>
      </c>
      <c r="B4" s="4" t="s">
        <v>136</v>
      </c>
      <c r="C4" s="6" t="s">
        <v>137</v>
      </c>
      <c r="D4" s="6" t="s">
        <v>138</v>
      </c>
      <c r="E4" s="6" t="s">
        <v>139</v>
      </c>
      <c r="F4" s="4" t="s">
        <v>6</v>
      </c>
      <c r="G4" s="10">
        <v>45944</v>
      </c>
      <c r="H4" s="6"/>
    </row>
    <row r="5" spans="1:8" x14ac:dyDescent="0.3">
      <c r="A5" s="4" t="s">
        <v>140</v>
      </c>
      <c r="B5" s="4" t="s">
        <v>141</v>
      </c>
      <c r="C5" s="6" t="s">
        <v>142</v>
      </c>
      <c r="D5" s="6" t="s">
        <v>143</v>
      </c>
      <c r="E5" s="6" t="s">
        <v>139</v>
      </c>
      <c r="F5" s="4" t="s">
        <v>5</v>
      </c>
      <c r="G5" s="10">
        <v>45989</v>
      </c>
      <c r="H5" s="6"/>
    </row>
    <row r="6" spans="1:8" x14ac:dyDescent="0.3">
      <c r="A6" s="4" t="s">
        <v>144</v>
      </c>
      <c r="B6" s="4" t="s">
        <v>145</v>
      </c>
      <c r="C6" s="6" t="s">
        <v>146</v>
      </c>
      <c r="D6" s="6" t="s">
        <v>147</v>
      </c>
      <c r="E6" s="6" t="s">
        <v>52</v>
      </c>
      <c r="F6" s="4" t="s">
        <v>6</v>
      </c>
      <c r="G6" s="10">
        <v>45978</v>
      </c>
      <c r="H6" s="6"/>
    </row>
    <row r="7" spans="1:8" x14ac:dyDescent="0.3">
      <c r="A7" s="4" t="s">
        <v>148</v>
      </c>
      <c r="B7" s="4" t="s">
        <v>149</v>
      </c>
      <c r="C7" s="6" t="s">
        <v>150</v>
      </c>
      <c r="D7" s="6" t="s">
        <v>151</v>
      </c>
      <c r="E7" s="6" t="s">
        <v>52</v>
      </c>
      <c r="F7" s="4" t="s">
        <v>6</v>
      </c>
      <c r="G7" s="10">
        <v>45902</v>
      </c>
      <c r="H7" s="6"/>
    </row>
    <row r="8" spans="1:8" x14ac:dyDescent="0.3">
      <c r="A8" s="4" t="s">
        <v>152</v>
      </c>
      <c r="B8" s="4" t="s">
        <v>153</v>
      </c>
      <c r="C8" s="6" t="s">
        <v>154</v>
      </c>
      <c r="D8" s="6" t="s">
        <v>155</v>
      </c>
      <c r="E8" s="6" t="s">
        <v>52</v>
      </c>
      <c r="F8" s="4" t="s">
        <v>5</v>
      </c>
      <c r="G8" s="10">
        <v>45902</v>
      </c>
      <c r="H8" s="6"/>
    </row>
    <row r="9" spans="1:8" x14ac:dyDescent="0.3">
      <c r="A9" s="4" t="s">
        <v>156</v>
      </c>
      <c r="B9" s="4" t="s">
        <v>157</v>
      </c>
      <c r="C9" s="6" t="s">
        <v>158</v>
      </c>
      <c r="D9" s="6" t="s">
        <v>159</v>
      </c>
      <c r="E9" s="6" t="s">
        <v>139</v>
      </c>
      <c r="F9" s="4" t="s">
        <v>5</v>
      </c>
      <c r="G9" s="10">
        <v>45998</v>
      </c>
      <c r="H9" s="6"/>
    </row>
    <row r="10" spans="1:8" x14ac:dyDescent="0.3">
      <c r="A10" s="4" t="s">
        <v>160</v>
      </c>
      <c r="B10" s="4" t="s">
        <v>161</v>
      </c>
      <c r="C10" s="6" t="s">
        <v>162</v>
      </c>
      <c r="D10" s="6" t="s">
        <v>163</v>
      </c>
      <c r="E10" s="6" t="s">
        <v>139</v>
      </c>
      <c r="F10" s="4" t="s">
        <v>6</v>
      </c>
      <c r="G10" s="10">
        <v>46011</v>
      </c>
      <c r="H10" s="6"/>
    </row>
    <row r="11" spans="1:8" x14ac:dyDescent="0.3">
      <c r="A11" s="4" t="s">
        <v>164</v>
      </c>
      <c r="B11" s="4" t="s">
        <v>165</v>
      </c>
      <c r="C11" s="6" t="s">
        <v>166</v>
      </c>
      <c r="D11" s="6" t="s">
        <v>167</v>
      </c>
      <c r="E11" s="6" t="s">
        <v>52</v>
      </c>
      <c r="F11" s="4" t="s">
        <v>6</v>
      </c>
      <c r="G11" s="10">
        <v>46053</v>
      </c>
      <c r="H11" s="6"/>
    </row>
    <row r="12" spans="1:8" x14ac:dyDescent="0.3">
      <c r="A12" s="4" t="s">
        <v>168</v>
      </c>
      <c r="B12" s="4" t="s">
        <v>169</v>
      </c>
      <c r="C12" s="6" t="s">
        <v>170</v>
      </c>
      <c r="D12" s="6" t="s">
        <v>171</v>
      </c>
      <c r="E12" s="6" t="s">
        <v>52</v>
      </c>
      <c r="F12" s="4" t="s">
        <v>6</v>
      </c>
      <c r="G12" s="10">
        <v>46041</v>
      </c>
      <c r="H12" s="6"/>
    </row>
    <row r="13" spans="1:8" x14ac:dyDescent="0.3">
      <c r="A13" s="4" t="s">
        <v>172</v>
      </c>
      <c r="B13" s="4" t="s">
        <v>173</v>
      </c>
      <c r="C13" s="6" t="s">
        <v>174</v>
      </c>
      <c r="D13" s="6" t="s">
        <v>175</v>
      </c>
      <c r="E13" s="6" t="s">
        <v>176</v>
      </c>
      <c r="F13" s="4" t="s">
        <v>6</v>
      </c>
      <c r="G13" s="10">
        <v>46028</v>
      </c>
      <c r="H13" s="6"/>
    </row>
    <row r="14" spans="1:8" x14ac:dyDescent="0.3">
      <c r="A14" s="4" t="s">
        <v>177</v>
      </c>
      <c r="B14" s="4" t="s">
        <v>178</v>
      </c>
      <c r="C14" s="6" t="s">
        <v>179</v>
      </c>
      <c r="D14" s="6" t="s">
        <v>180</v>
      </c>
      <c r="E14" s="6" t="s">
        <v>139</v>
      </c>
      <c r="F14" s="4" t="s">
        <v>5</v>
      </c>
      <c r="G14" s="10">
        <v>46056</v>
      </c>
      <c r="H14" s="6"/>
    </row>
    <row r="15" spans="1:8" x14ac:dyDescent="0.3">
      <c r="A15" s="4" t="s">
        <v>181</v>
      </c>
      <c r="B15" s="4" t="s">
        <v>182</v>
      </c>
      <c r="C15" s="6" t="s">
        <v>183</v>
      </c>
      <c r="D15" s="6" t="s">
        <v>184</v>
      </c>
      <c r="E15" s="6" t="s">
        <v>52</v>
      </c>
      <c r="F15" s="4" t="s">
        <v>5</v>
      </c>
      <c r="G15" s="10">
        <v>45904</v>
      </c>
      <c r="H15" s="6"/>
    </row>
    <row r="16" spans="1:8" x14ac:dyDescent="0.3">
      <c r="A16" s="4" t="s">
        <v>185</v>
      </c>
      <c r="B16" s="4" t="s">
        <v>186</v>
      </c>
      <c r="C16" s="6" t="s">
        <v>187</v>
      </c>
      <c r="D16" s="6" t="s">
        <v>188</v>
      </c>
      <c r="E16" s="6" t="s">
        <v>176</v>
      </c>
      <c r="F16" s="4" t="s">
        <v>5</v>
      </c>
      <c r="G16" s="10">
        <v>45962</v>
      </c>
      <c r="H16" s="6"/>
    </row>
  </sheetData>
  <conditionalFormatting sqref="G2:G500">
    <cfRule type="expression" dxfId="2" priority="1">
      <formula>TODAY()-G2&gt;90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/>
  </sheetViews>
  <sheetFormatPr defaultRowHeight="14.4" x14ac:dyDescent="0.3"/>
  <cols>
    <col min="1" max="1" width="18" customWidth="1"/>
    <col min="2" max="3" width="12" customWidth="1"/>
    <col min="4" max="4" width="14" customWidth="1"/>
    <col min="5" max="5" width="16" customWidth="1"/>
    <col min="6" max="7" width="14" customWidth="1"/>
    <col min="8" max="8" width="16" customWidth="1"/>
    <col min="9" max="9" width="24" customWidth="1"/>
  </cols>
  <sheetData>
    <row r="1" spans="1:9" ht="22.05" customHeight="1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16</v>
      </c>
      <c r="G1" s="1" t="s">
        <v>194</v>
      </c>
      <c r="H1" s="1" t="s">
        <v>195</v>
      </c>
      <c r="I1" s="1" t="s">
        <v>126</v>
      </c>
    </row>
    <row r="2" spans="1:9" x14ac:dyDescent="0.3">
      <c r="A2" s="4" t="s">
        <v>196</v>
      </c>
      <c r="B2" s="4" t="s">
        <v>197</v>
      </c>
      <c r="C2" s="10">
        <v>46025</v>
      </c>
      <c r="D2" s="5">
        <v>1065.5999999999999</v>
      </c>
      <c r="E2" s="6">
        <f t="shared" ref="E2:E14" ca="1" si="0">TODAY()-C2</f>
        <v>42</v>
      </c>
      <c r="F2" s="4" t="str">
        <f t="shared" ref="F2:F14" ca="1" si="1">IF(E2&lt;30,"0-29",IF(E2&lt;60,"30-59",IF(E2&lt;90,"60-89","90+")))</f>
        <v>30-59</v>
      </c>
      <c r="G2" s="6"/>
      <c r="H2" s="10"/>
      <c r="I2" s="6"/>
    </row>
    <row r="3" spans="1:9" x14ac:dyDescent="0.3">
      <c r="A3" s="4" t="s">
        <v>198</v>
      </c>
      <c r="B3" s="4" t="s">
        <v>199</v>
      </c>
      <c r="C3" s="10">
        <v>46027</v>
      </c>
      <c r="D3" s="5">
        <v>1097.1199999999999</v>
      </c>
      <c r="E3" s="6">
        <f t="shared" ca="1" si="0"/>
        <v>40</v>
      </c>
      <c r="F3" s="4" t="str">
        <f t="shared" ca="1" si="1"/>
        <v>30-59</v>
      </c>
      <c r="G3" s="6"/>
      <c r="H3" s="10"/>
      <c r="I3" s="6"/>
    </row>
    <row r="4" spans="1:9" x14ac:dyDescent="0.3">
      <c r="A4" s="4" t="s">
        <v>200</v>
      </c>
      <c r="B4" s="4" t="s">
        <v>201</v>
      </c>
      <c r="C4" s="10">
        <v>45961</v>
      </c>
      <c r="D4" s="5">
        <v>350</v>
      </c>
      <c r="E4" s="6">
        <f t="shared" ca="1" si="0"/>
        <v>106</v>
      </c>
      <c r="F4" s="4" t="str">
        <f t="shared" ca="1" si="1"/>
        <v>90+</v>
      </c>
      <c r="G4" s="6"/>
      <c r="H4" s="10"/>
      <c r="I4" s="6"/>
    </row>
    <row r="5" spans="1:9" x14ac:dyDescent="0.3">
      <c r="A5" s="4" t="s">
        <v>202</v>
      </c>
      <c r="B5" s="4" t="s">
        <v>203</v>
      </c>
      <c r="C5" s="10">
        <v>45977</v>
      </c>
      <c r="D5" s="5">
        <v>219.33</v>
      </c>
      <c r="E5" s="6">
        <f t="shared" ca="1" si="0"/>
        <v>90</v>
      </c>
      <c r="F5" s="4" t="str">
        <f t="shared" ca="1" si="1"/>
        <v>90+</v>
      </c>
      <c r="G5" s="6"/>
      <c r="H5" s="10"/>
      <c r="I5" s="6"/>
    </row>
    <row r="6" spans="1:9" x14ac:dyDescent="0.3">
      <c r="A6" s="4" t="s">
        <v>204</v>
      </c>
      <c r="B6" s="4" t="s">
        <v>205</v>
      </c>
      <c r="C6" s="10">
        <v>46010</v>
      </c>
      <c r="D6" s="5">
        <v>1337.86</v>
      </c>
      <c r="E6" s="6">
        <f t="shared" ca="1" si="0"/>
        <v>57</v>
      </c>
      <c r="F6" s="4" t="str">
        <f t="shared" ca="1" si="1"/>
        <v>30-59</v>
      </c>
      <c r="G6" s="6"/>
      <c r="H6" s="10"/>
      <c r="I6" s="6"/>
    </row>
    <row r="7" spans="1:9" x14ac:dyDescent="0.3">
      <c r="A7" s="4" t="s">
        <v>206</v>
      </c>
      <c r="B7" s="4" t="s">
        <v>207</v>
      </c>
      <c r="C7" s="10">
        <v>46003</v>
      </c>
      <c r="D7" s="5">
        <v>370.95</v>
      </c>
      <c r="E7" s="6">
        <f t="shared" ca="1" si="0"/>
        <v>64</v>
      </c>
      <c r="F7" s="4" t="str">
        <f t="shared" ca="1" si="1"/>
        <v>60-89</v>
      </c>
      <c r="G7" s="6"/>
      <c r="H7" s="10">
        <v>46025</v>
      </c>
      <c r="I7" s="6"/>
    </row>
    <row r="8" spans="1:9" x14ac:dyDescent="0.3">
      <c r="A8" s="4" t="s">
        <v>208</v>
      </c>
      <c r="B8" s="4" t="s">
        <v>209</v>
      </c>
      <c r="C8" s="10">
        <v>45972</v>
      </c>
      <c r="D8" s="5">
        <v>1131.78</v>
      </c>
      <c r="E8" s="6">
        <f t="shared" ca="1" si="0"/>
        <v>95</v>
      </c>
      <c r="F8" s="4" t="str">
        <f t="shared" ca="1" si="1"/>
        <v>90+</v>
      </c>
      <c r="G8" s="6"/>
      <c r="H8" s="10"/>
      <c r="I8" s="6"/>
    </row>
    <row r="9" spans="1:9" x14ac:dyDescent="0.3">
      <c r="A9" s="4" t="s">
        <v>210</v>
      </c>
      <c r="B9" s="4" t="s">
        <v>211</v>
      </c>
      <c r="C9" s="10">
        <v>46002</v>
      </c>
      <c r="D9" s="5">
        <v>146.58000000000001</v>
      </c>
      <c r="E9" s="6">
        <f t="shared" ca="1" si="0"/>
        <v>65</v>
      </c>
      <c r="F9" s="4" t="str">
        <f t="shared" ca="1" si="1"/>
        <v>60-89</v>
      </c>
      <c r="G9" s="6"/>
      <c r="H9" s="10"/>
      <c r="I9" s="6"/>
    </row>
    <row r="10" spans="1:9" x14ac:dyDescent="0.3">
      <c r="A10" s="4" t="s">
        <v>212</v>
      </c>
      <c r="B10" s="4" t="s">
        <v>213</v>
      </c>
      <c r="C10" s="10">
        <v>46041</v>
      </c>
      <c r="D10" s="5">
        <v>569.82000000000005</v>
      </c>
      <c r="E10" s="6">
        <f t="shared" ca="1" si="0"/>
        <v>26</v>
      </c>
      <c r="F10" s="4" t="str">
        <f t="shared" ca="1" si="1"/>
        <v>0-29</v>
      </c>
      <c r="G10" s="6"/>
      <c r="H10" s="10">
        <v>46049</v>
      </c>
      <c r="I10" s="6"/>
    </row>
    <row r="11" spans="1:9" x14ac:dyDescent="0.3">
      <c r="A11" s="4" t="s">
        <v>214</v>
      </c>
      <c r="B11" s="4" t="s">
        <v>215</v>
      </c>
      <c r="C11" s="10">
        <v>46034</v>
      </c>
      <c r="D11" s="5">
        <v>670.69</v>
      </c>
      <c r="E11" s="6">
        <f t="shared" ca="1" si="0"/>
        <v>33</v>
      </c>
      <c r="F11" s="4" t="str">
        <f t="shared" ca="1" si="1"/>
        <v>30-59</v>
      </c>
      <c r="G11" s="6"/>
      <c r="H11" s="10"/>
      <c r="I11" s="6"/>
    </row>
    <row r="12" spans="1:9" x14ac:dyDescent="0.3">
      <c r="A12" s="4" t="s">
        <v>216</v>
      </c>
      <c r="B12" s="4" t="s">
        <v>217</v>
      </c>
      <c r="C12" s="10">
        <v>46016</v>
      </c>
      <c r="D12" s="5">
        <v>389.37</v>
      </c>
      <c r="E12" s="6">
        <f t="shared" ca="1" si="0"/>
        <v>51</v>
      </c>
      <c r="F12" s="4" t="str">
        <f t="shared" ca="1" si="1"/>
        <v>30-59</v>
      </c>
      <c r="G12" s="6"/>
      <c r="H12" s="10"/>
      <c r="I12" s="6"/>
    </row>
    <row r="13" spans="1:9" x14ac:dyDescent="0.3">
      <c r="A13" s="4" t="s">
        <v>218</v>
      </c>
      <c r="B13" s="4" t="s">
        <v>219</v>
      </c>
      <c r="C13" s="10">
        <v>46057</v>
      </c>
      <c r="D13" s="5">
        <v>1129.3599999999999</v>
      </c>
      <c r="E13" s="6">
        <f t="shared" ca="1" si="0"/>
        <v>10</v>
      </c>
      <c r="F13" s="4" t="str">
        <f t="shared" ca="1" si="1"/>
        <v>0-29</v>
      </c>
      <c r="G13" s="6"/>
      <c r="H13" s="10">
        <v>46062</v>
      </c>
      <c r="I13" s="6"/>
    </row>
    <row r="14" spans="1:9" x14ac:dyDescent="0.3">
      <c r="A14" s="4" t="s">
        <v>220</v>
      </c>
      <c r="B14" s="4" t="s">
        <v>221</v>
      </c>
      <c r="C14" s="10">
        <v>45958</v>
      </c>
      <c r="D14" s="5">
        <v>1128.0899999999999</v>
      </c>
      <c r="E14" s="6">
        <f t="shared" ca="1" si="0"/>
        <v>109</v>
      </c>
      <c r="F14" s="4" t="str">
        <f t="shared" ca="1" si="1"/>
        <v>90+</v>
      </c>
      <c r="G14" s="6"/>
      <c r="H14" s="10"/>
      <c r="I14" s="6"/>
    </row>
  </sheetData>
  <conditionalFormatting sqref="E2:E500">
    <cfRule type="cellIs" dxfId="1" priority="1" operator="greaterThanOrEqual">
      <formula>90</formula>
    </cfRule>
  </conditionalFormatting>
  <conditionalFormatting sqref="G2:G500">
    <cfRule type="cellIs" dxfId="0" priority="2" operator="equal">
      <formula>"N"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defaultRowHeight="14.4" x14ac:dyDescent="0.3"/>
  <cols>
    <col min="1" max="1" width="32" customWidth="1"/>
    <col min="2" max="2" width="18" customWidth="1"/>
    <col min="3" max="3" width="3" customWidth="1"/>
    <col min="4" max="4" width="40" customWidth="1"/>
    <col min="5" max="5" width="18" customWidth="1"/>
  </cols>
  <sheetData>
    <row r="1" spans="1:5" ht="28.05" customHeight="1" x14ac:dyDescent="0.3">
      <c r="A1" s="22" t="s">
        <v>222</v>
      </c>
      <c r="B1" s="20"/>
      <c r="C1" s="20"/>
      <c r="D1" s="20"/>
      <c r="E1" s="20"/>
    </row>
    <row r="2" spans="1:5" x14ac:dyDescent="0.3">
      <c r="A2" s="11" t="s">
        <v>223</v>
      </c>
      <c r="B2" s="11" t="s">
        <v>10</v>
      </c>
      <c r="D2" s="11" t="s">
        <v>224</v>
      </c>
    </row>
    <row r="3" spans="1:5" x14ac:dyDescent="0.3">
      <c r="A3" s="12" t="s">
        <v>225</v>
      </c>
      <c r="B3" s="5">
        <f>SUM(Bank_Deposits!C2:C1000)</f>
        <v>28130.449999999997</v>
      </c>
      <c r="D3" s="23" t="s">
        <v>226</v>
      </c>
      <c r="E3" s="24"/>
    </row>
    <row r="4" spans="1:5" x14ac:dyDescent="0.3">
      <c r="A4" s="12" t="s">
        <v>227</v>
      </c>
      <c r="B4" s="13">
        <f>Bank_Deposits!J3</f>
        <v>0.8</v>
      </c>
      <c r="D4" s="25"/>
      <c r="E4" s="26"/>
    </row>
    <row r="5" spans="1:5" x14ac:dyDescent="0.3">
      <c r="A5" s="12" t="s">
        <v>228</v>
      </c>
      <c r="B5" s="5">
        <f>SUM(Direct_Deposits!C2:C1000)</f>
        <v>10225.98</v>
      </c>
      <c r="D5" s="25"/>
      <c r="E5" s="26"/>
    </row>
    <row r="6" spans="1:5" x14ac:dyDescent="0.3">
      <c r="A6" s="12" t="s">
        <v>229</v>
      </c>
      <c r="B6" s="13">
        <f>IF(COUNTIF(Direct_Deposits!F2:F1000,"Cleared")+COUNTIF(Direct_Deposits!F2:F1000,"Returned")+COUNTIF(Direct_Deposits!F2:F1000,"Sent")+COUNTIF(Direct_Deposits!F2:F1000,"Scheduled")=0,0,COUNTIF(Direct_Deposits!F2:F1000,"Cleared")/(COUNTIF(Direct_Deposits!F2:F1000,"Cleared")+COUNTIF(Direct_Deposits!F2:F1000,"Returned")+COUNTIF(Direct_Deposits!F2:F1000,"Sent")+COUNTIF(Direct_Deposits!F2:F1000,"Scheduled")))</f>
        <v>0.6</v>
      </c>
      <c r="D6" s="25"/>
      <c r="E6" s="26"/>
    </row>
    <row r="7" spans="1:5" x14ac:dyDescent="0.3">
      <c r="A7" s="12" t="s">
        <v>230</v>
      </c>
      <c r="B7" s="5">
        <f>SUM(CreditCard_Payments!D2:D2000)</f>
        <v>1972.63</v>
      </c>
      <c r="D7" s="25"/>
      <c r="E7" s="26"/>
    </row>
    <row r="8" spans="1:5" x14ac:dyDescent="0.3">
      <c r="A8" s="12" t="s">
        <v>231</v>
      </c>
      <c r="B8" s="13">
        <f>IF(COUNTIF(CreditCard_Payments!H2:H2000,"Y")+COUNTIF(CreditCard_Payments!H2:H2000,"N")=0,0,COUNTIF(CreditCard_Payments!H2:H2000,"Y")/(COUNTIF(CreditCard_Payments!H2:H2000,"Y")+COUNTIF(CreditCard_Payments!H2:H2000,"N")))</f>
        <v>0.58333333333333337</v>
      </c>
      <c r="D8" s="27"/>
      <c r="E8" s="28"/>
    </row>
    <row r="9" spans="1:5" x14ac:dyDescent="0.3">
      <c r="A9" s="12" t="s">
        <v>232</v>
      </c>
      <c r="B9" s="5">
        <f>SUM(Collections!D2:D2000)</f>
        <v>9606.5499999999993</v>
      </c>
    </row>
    <row r="10" spans="1:5" x14ac:dyDescent="0.3">
      <c r="A10" s="12" t="s">
        <v>233</v>
      </c>
      <c r="B10" s="14">
        <f ca="1">COUNTIF(Vendor_Maintenance!G2:G2000,"&lt;"&amp;TODAY()-90)</f>
        <v>6</v>
      </c>
    </row>
  </sheetData>
  <mergeCells count="2">
    <mergeCell ref="A1:E1"/>
    <mergeCell ref="D3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0" customWidth="1"/>
  </cols>
  <sheetData>
    <row r="1" spans="1:1" ht="18" x14ac:dyDescent="0.35">
      <c r="A1" s="18" t="s">
        <v>234</v>
      </c>
    </row>
    <row r="3" spans="1:1" x14ac:dyDescent="0.3">
      <c r="A3" s="2" t="s">
        <v>235</v>
      </c>
    </row>
    <row r="4" spans="1:1" x14ac:dyDescent="0.3">
      <c r="A4" t="s">
        <v>236</v>
      </c>
    </row>
    <row r="10" spans="1:1" x14ac:dyDescent="0.3">
      <c r="A10" s="2" t="s">
        <v>237</v>
      </c>
    </row>
    <row r="11" spans="1:1" x14ac:dyDescent="0.3">
      <c r="A11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Pivot_Summaries</vt:lpstr>
      <vt:lpstr>Bank_Deposits</vt:lpstr>
      <vt:lpstr>Direct_Deposits</vt:lpstr>
      <vt:lpstr>CreditCard_Payments</vt:lpstr>
      <vt:lpstr>Vendor_Maintenance</vt:lpstr>
      <vt:lpstr>Collections</vt:lpstr>
      <vt:lpstr>Dashboard</vt:lpstr>
      <vt:lpstr>Macros_Optional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Chimuanya Eze</cp:lastModifiedBy>
  <cp:lastPrinted>2026-02-14T14:56:39Z</cp:lastPrinted>
  <dcterms:created xsi:type="dcterms:W3CDTF">2026-02-14T14:41:10Z</dcterms:created>
  <dcterms:modified xsi:type="dcterms:W3CDTF">2026-02-14T14:57:37Z</dcterms:modified>
</cp:coreProperties>
</file>